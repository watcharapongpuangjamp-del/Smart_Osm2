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ภาพรวมและสถิติ" sheetId="1" state="visible" r:id="rId1"/>
    <sheet xmlns:r="http://schemas.openxmlformats.org/officeDocument/2006/relationships" name="ทะเบียนประชากร" sheetId="2" state="visible" r:id="rId2"/>
    <sheet xmlns:r="http://schemas.openxmlformats.org/officeDocument/2006/relationships" name="สรุปตามบ้านเลขที่" sheetId="3" state="visible" r:id="rId3"/>
  </sheets>
  <definedNames>
    <definedName name="_xlnm._FilterDatabase" localSheetId="1" hidden="1">'ทะเบียนประชากร'!$A$4:$K$73</definedName>
    <definedName name="_xlnm._FilterDatabase" localSheetId="2" hidden="1">'สรุปตามบ้านเลขที่'!$A$4:$H$21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คน&quot;"/>
    <numFmt numFmtId="165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1B4D3E"/>
      <sz val="16"/>
    </font>
    <font>
      <name val="Aptos"/>
      <i val="1"/>
      <color rgb="00555555"/>
      <sz val="10"/>
    </font>
    <font>
      <name val="Aptos"/>
      <b val="1"/>
      <color rgb="00FFFFFF"/>
      <sz val="11"/>
    </font>
    <font>
      <name val="Aptos"/>
      <color rgb="00000000"/>
      <sz val="11"/>
    </font>
    <font>
      <name val="Aptos"/>
      <b val="1"/>
      <color rgb="00000000"/>
      <sz val="11"/>
    </font>
    <font>
      <name val="Aptos"/>
      <b val="1"/>
      <color rgb="00555555"/>
      <sz val="10"/>
    </font>
    <font>
      <name val="Aptos"/>
      <b val="1"/>
      <color rgb="001B4D3E"/>
      <sz val="20"/>
    </font>
    <font>
      <name val="Aptos"/>
      <b val="1"/>
      <color rgb="001B4D3E"/>
      <sz val="13"/>
    </font>
  </fonts>
  <fills count="11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FFFFF"/>
        <bgColor rgb="00FFFFFF"/>
      </patternFill>
    </fill>
    <fill>
      <patternFill patternType="solid">
        <fgColor rgb="00F4F8F6"/>
        <bgColor rgb="00F4F8F6"/>
      </patternFill>
    </fill>
    <fill>
      <patternFill patternType="solid">
        <fgColor rgb="00E2EFDA"/>
        <bgColor rgb="00E2EFDA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9EBEA"/>
        <bgColor rgb="00F9EBEA"/>
      </patternFill>
    </fill>
    <fill>
      <patternFill patternType="solid">
        <fgColor rgb="002C6B56"/>
        <bgColor rgb="002C6B56"/>
      </patternFill>
    </fill>
  </fills>
  <borders count="3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  <border>
      <left style="thin">
        <color rgb="00D0D3D4"/>
      </left>
      <right style="thin">
        <color rgb="00D0D3D4"/>
      </right>
      <top style="thin">
        <color rgb="001B4D3E"/>
      </top>
      <bottom style="double">
        <color rgb="001B4D3E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6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3" fontId="5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0" fillId="5" borderId="2" pivotButton="0" quotePrefix="0" xfId="0"/>
    <xf numFmtId="164" fontId="5" fillId="5" borderId="2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ptos"/>
        <b val="1"/>
        <color rgb="0078281F"/>
        <sz val="11"/>
      </font>
      <fill>
        <patternFill patternType="solid">
          <fgColor rgb="00FADBD8"/>
          <bgColor rgb="00FADBD8"/>
        </patternFill>
      </fill>
    </dxf>
    <dxf>
      <font>
        <name val="Aptos"/>
        <b val="1"/>
        <color rgb="00145A32"/>
        <sz val="11"/>
      </font>
      <fill>
        <patternFill patternType="solid">
          <fgColor rgb="00D4EFDF"/>
          <bgColor rgb="00D4EF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โครงสร้างประชากรจำแนกตามช่วงวัย (หมู่ 8)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'สรุปภาพรวมและสถิติ'!D10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'สรุปภาพรวมและสถิติ'!$B$11:$B$18</f>
            </numRef>
          </cat>
          <val>
            <numRef>
              <f>'สรุปภาพรวมและสถิติ'!$D$11:$D$18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ช่วงวัย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จำนวนประชากร (คน)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สัดส่วนประชากรตามเพศ</a:t>
            </a:r>
          </a:p>
        </rich>
      </tx>
    </title>
    <plotArea>
      <pieChart>
        <varyColors val="1"/>
        <ser>
          <idx val="0"/>
          <order val="0"/>
          <tx>
            <strRef>
              <f>'สรุปภาพรวมและสถิติ'!C23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'สรุปภาพรวมและสถิติ'!$B$24:$B$25</f>
            </numRef>
          </cat>
          <val>
            <numRef>
              <f>'สรุปภาพรวมและสถิติ'!$C$24:$C$25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สถานภาพการมีชีวิต</a:t>
            </a:r>
          </a:p>
        </rich>
      </tx>
    </title>
    <plotArea>
      <pieChart>
        <varyColors val="1"/>
        <ser>
          <idx val="0"/>
          <order val="0"/>
          <tx>
            <strRef>
              <f>'สรุปภาพรวมและสถิติ'!F23</f>
            </strRef>
          </tx>
          <spPr>
            <a:ln xmlns:a="http://schemas.openxmlformats.org/drawingml/2006/main">
              <a:prstDash val="solid"/>
            </a:ln>
          </spPr>
          <cat>
            <numRef>
              <f>'สรุปภาพรวมและสถิติ'!$E$24:$E$25</f>
            </numRef>
          </cat>
          <val>
            <numRef>
              <f>'สรุปภาพรวมและสถิติ'!$F$24:$F$25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27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27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16" customWidth="1" min="4" max="4"/>
    <col width="21" customWidth="1" min="5" max="5"/>
    <col width="16" customWidth="1" min="6" max="6"/>
    <col width="16" customWidth="1" min="7" max="7"/>
    <col width="16" customWidth="1" min="8" max="8"/>
    <col width="16" customWidth="1" min="9" max="9"/>
    <col width="35" customWidth="1" min="10" max="10"/>
  </cols>
  <sheetData>
    <row r="1"/>
    <row r="2">
      <c r="B2" s="1" t="inlineStr">
        <is>
          <t>รายงานสรุปและสถิติทะเบียนประชากร หมู่ที่ 8</t>
        </is>
      </c>
    </row>
    <row r="3">
      <c r="B3" s="2" t="inlineStr">
        <is>
          <t>ข้อมูลสรุปประชากร 17 หลังคาเรือน รวม 69 คน | ปรับปรุงข้อมูล ณ วันที่ 3 กันยายน 2569</t>
        </is>
      </c>
    </row>
    <row r="4"/>
    <row r="5" ht="18" customHeight="1">
      <c r="B5" s="3" t="inlineStr">
        <is>
          <t>ประชากรทั้งหมด</t>
        </is>
      </c>
      <c r="C5" s="4" t="n"/>
      <c r="D5" s="5" t="inlineStr">
        <is>
          <t>มีชีวิต / เสียชีวิต</t>
        </is>
      </c>
      <c r="E5" s="6" t="n"/>
      <c r="F5" s="7" t="inlineStr">
        <is>
          <t>ชาย / หญิง</t>
        </is>
      </c>
      <c r="G5" s="8" t="n"/>
      <c r="H5" s="9" t="inlineStr">
        <is>
          <t>จำนวนบ้านเรือน / เจ้าบ้าน</t>
        </is>
      </c>
      <c r="I5" s="10" t="n"/>
    </row>
    <row r="6" ht="32" customHeight="1">
      <c r="B6" s="11">
        <f>COUNTA('ทะเบียนประชากร'!D5:D73)</f>
        <v/>
      </c>
      <c r="C6" s="4" t="n"/>
      <c r="D6" s="12">
        <f>COUNTIF('ทะเบียนประชากร'!J5:J73, "มีชีวิต") &amp; " / " &amp; COUNTIF('ทะเบียนประชากร'!J5:J73, "เสียชีวิต") &amp; " คน"</f>
        <v/>
      </c>
      <c r="E6" s="6" t="n"/>
      <c r="F6" s="13">
        <f>COUNTIF('ทะเบียนประชากร'!E5:E73, "ชาย") &amp; " / " &amp; COUNTIF('ทะเบียนประชากร'!E5:E73, "หญิง") &amp; " คน"</f>
        <v/>
      </c>
      <c r="G6" s="8" t="n"/>
      <c r="H6" s="14">
        <f>COUNTA('สรุปตามบ้านเลขที่'!A5:A21) &amp; " หลัง / " &amp; COUNTIF('ทะเบียนประชากร'!I5:I73, "เจ้าบ้าน") &amp; " คน"</f>
        <v/>
      </c>
      <c r="I6" s="10" t="n"/>
    </row>
    <row r="7"/>
    <row r="8"/>
    <row r="9">
      <c r="B9" s="15" t="inlineStr">
        <is>
          <t>ตารางที่ 1: โครงสร้างประชากรจำแนกตามช่วงวัย</t>
        </is>
      </c>
    </row>
    <row r="10" ht="24" customHeight="1">
      <c r="B10" s="16" t="inlineStr">
        <is>
          <t>ช่วงวัย</t>
        </is>
      </c>
      <c r="C10" s="16" t="inlineStr">
        <is>
          <t>ช่วงอายุ (ปี)</t>
        </is>
      </c>
      <c r="D10" s="16" t="inlineStr">
        <is>
          <t>จำนวน (คน)</t>
        </is>
      </c>
      <c r="E10" s="16" t="inlineStr">
        <is>
          <t>ร้อยละ</t>
        </is>
      </c>
      <c r="F10" s="16" t="inlineStr">
        <is>
          <t>ชาย (คน)</t>
        </is>
      </c>
      <c r="G10" s="16" t="inlineStr">
        <is>
          <t>หญิง (คน)</t>
        </is>
      </c>
    </row>
    <row r="11" ht="20" customHeight="1">
      <c r="B11" s="17" t="inlineStr">
        <is>
          <t>เด็กเล็ก (0–5 ปี)</t>
        </is>
      </c>
      <c r="C11" s="18" t="inlineStr">
        <is>
          <t>0–5</t>
        </is>
      </c>
      <c r="D11" s="19">
        <f>COUNTIF('ทะเบียนประชากร'!$H$5:$H$73, B11)</f>
        <v/>
      </c>
      <c r="E11" s="20">
        <f>D11/$D$19</f>
        <v/>
      </c>
      <c r="F11" s="19">
        <f>COUNTIFS('ทะเบียนประชากร'!$H$5:$H$73, B11, 'ทะเบียนประชากร'!$E$5:$E$73, "ชาย")</f>
        <v/>
      </c>
      <c r="G11" s="19">
        <f>COUNTIFS('ทะเบียนประชากร'!$H$5:$H$73, B11, 'ทะเบียนประชากร'!$E$5:$E$73, "หญิง")</f>
        <v/>
      </c>
    </row>
    <row r="12" ht="20" customHeight="1">
      <c r="B12" s="21" t="inlineStr">
        <is>
          <t>เด็กวัยเรียน (6–12 ปี)</t>
        </is>
      </c>
      <c r="C12" s="22" t="inlineStr">
        <is>
          <t>6–12</t>
        </is>
      </c>
      <c r="D12" s="23">
        <f>COUNTIF('ทะเบียนประชากร'!$H$5:$H$73, B12)</f>
        <v/>
      </c>
      <c r="E12" s="24">
        <f>D12/$D$19</f>
        <v/>
      </c>
      <c r="F12" s="23">
        <f>COUNTIFS('ทะเบียนประชากร'!$H$5:$H$73, B12, 'ทะเบียนประชากร'!$E$5:$E$73, "ชาย")</f>
        <v/>
      </c>
      <c r="G12" s="23">
        <f>COUNTIFS('ทะเบียนประชากร'!$H$5:$H$73, B12, 'ทะเบียนประชากร'!$E$5:$E$73, "หญิง")</f>
        <v/>
      </c>
    </row>
    <row r="13" ht="20" customHeight="1">
      <c r="B13" s="17" t="inlineStr">
        <is>
          <t>วัยรุ่น (13–17 ปี)</t>
        </is>
      </c>
      <c r="C13" s="18" t="inlineStr">
        <is>
          <t>13–17</t>
        </is>
      </c>
      <c r="D13" s="19">
        <f>COUNTIF('ทะเบียนประชากร'!$H$5:$H$73, B13)</f>
        <v/>
      </c>
      <c r="E13" s="20">
        <f>D13/$D$19</f>
        <v/>
      </c>
      <c r="F13" s="19">
        <f>COUNTIFS('ทะเบียนประชากร'!$H$5:$H$73, B13, 'ทะเบียนประชากร'!$E$5:$E$73, "ชาย")</f>
        <v/>
      </c>
      <c r="G13" s="19">
        <f>COUNTIFS('ทะเบียนประชากร'!$H$5:$H$73, B13, 'ทะเบียนประชากร'!$E$5:$E$73, "หญิง")</f>
        <v/>
      </c>
    </row>
    <row r="14" ht="20" customHeight="1">
      <c r="B14" s="21" t="inlineStr">
        <is>
          <t>วัยหนุ่มสาว (18–24 ปี)</t>
        </is>
      </c>
      <c r="C14" s="22" t="inlineStr">
        <is>
          <t>18–24</t>
        </is>
      </c>
      <c r="D14" s="23">
        <f>COUNTIF('ทะเบียนประชากร'!$H$5:$H$73, B14)</f>
        <v/>
      </c>
      <c r="E14" s="24">
        <f>D14/$D$19</f>
        <v/>
      </c>
      <c r="F14" s="23">
        <f>COUNTIFS('ทะเบียนประชากร'!$H$5:$H$73, B14, 'ทะเบียนประชากร'!$E$5:$E$73, "ชาย")</f>
        <v/>
      </c>
      <c r="G14" s="23">
        <f>COUNTIFS('ทะเบียนประชากร'!$H$5:$H$73, B14, 'ทะเบียนประชากร'!$E$5:$E$73, "หญิง")</f>
        <v/>
      </c>
    </row>
    <row r="15" ht="20" customHeight="1">
      <c r="B15" s="17" t="inlineStr">
        <is>
          <t>วัยทำงานตอนต้น (25–39 ปี)</t>
        </is>
      </c>
      <c r="C15" s="18" t="inlineStr">
        <is>
          <t>25–39</t>
        </is>
      </c>
      <c r="D15" s="19">
        <f>COUNTIF('ทะเบียนประชากร'!$H$5:$H$73, B15)</f>
        <v/>
      </c>
      <c r="E15" s="20">
        <f>D15/$D$19</f>
        <v/>
      </c>
      <c r="F15" s="19">
        <f>COUNTIFS('ทะเบียนประชากร'!$H$5:$H$73, B15, 'ทะเบียนประชากร'!$E$5:$E$73, "ชาย")</f>
        <v/>
      </c>
      <c r="G15" s="19">
        <f>COUNTIFS('ทะเบียนประชากร'!$H$5:$H$73, B15, 'ทะเบียนประชากร'!$E$5:$E$73, "หญิง")</f>
        <v/>
      </c>
    </row>
    <row r="16" ht="20" customHeight="1">
      <c r="B16" s="21" t="inlineStr">
        <is>
          <t>วัยทำงานตอนกลาง (40–59 ปี)</t>
        </is>
      </c>
      <c r="C16" s="22" t="inlineStr">
        <is>
          <t>40–59</t>
        </is>
      </c>
      <c r="D16" s="23">
        <f>COUNTIF('ทะเบียนประชากร'!$H$5:$H$73, B16)</f>
        <v/>
      </c>
      <c r="E16" s="24">
        <f>D16/$D$19</f>
        <v/>
      </c>
      <c r="F16" s="23">
        <f>COUNTIFS('ทะเบียนประชากร'!$H$5:$H$73, B16, 'ทะเบียนประชากร'!$E$5:$E$73, "ชาย")</f>
        <v/>
      </c>
      <c r="G16" s="23">
        <f>COUNTIFS('ทะเบียนประชากร'!$H$5:$H$73, B16, 'ทะเบียนประชากร'!$E$5:$E$73, "หญิง")</f>
        <v/>
      </c>
    </row>
    <row r="17" ht="20" customHeight="1">
      <c r="B17" s="17" t="inlineStr">
        <is>
          <t>ผู้สูงอายุ (60 ปีขึ้นไป)</t>
        </is>
      </c>
      <c r="C17" s="18" t="inlineStr">
        <is>
          <t>60+</t>
        </is>
      </c>
      <c r="D17" s="19">
        <f>COUNTIF('ทะเบียนประชากร'!$H$5:$H$73, B17)</f>
        <v/>
      </c>
      <c r="E17" s="20">
        <f>D17/$D$19</f>
        <v/>
      </c>
      <c r="F17" s="19">
        <f>COUNTIFS('ทะเบียนประชากร'!$H$5:$H$73, B17, 'ทะเบียนประชากร'!$E$5:$E$73, "ชาย")</f>
        <v/>
      </c>
      <c r="G17" s="19">
        <f>COUNTIFS('ทะเบียนประชากร'!$H$5:$H$73, B17, 'ทะเบียนประชากร'!$E$5:$E$73, "หญิง")</f>
        <v/>
      </c>
    </row>
    <row r="18" ht="20" customHeight="1">
      <c r="B18" s="21" t="inlineStr">
        <is>
          <t>ไม่ระบุอายุปัจจุบัน</t>
        </is>
      </c>
      <c r="C18" s="22" t="inlineStr">
        <is>
          <t>เสียชีวิต</t>
        </is>
      </c>
      <c r="D18" s="23">
        <f>COUNTIF('ทะเบียนประชากร'!$H$5:$H$73, B18)</f>
        <v/>
      </c>
      <c r="E18" s="24">
        <f>D18/$D$19</f>
        <v/>
      </c>
      <c r="F18" s="23">
        <f>COUNTIFS('ทะเบียนประชากร'!$H$5:$H$73, B18, 'ทะเบียนประชากร'!$E$5:$E$73, "ชาย")</f>
        <v/>
      </c>
      <c r="G18" s="23">
        <f>COUNTIFS('ทะเบียนประชากร'!$H$5:$H$73, B18, 'ทะเบียนประชากร'!$E$5:$E$73, "หญิง")</f>
        <v/>
      </c>
    </row>
    <row r="19" ht="22" customHeight="1">
      <c r="B19" s="25" t="inlineStr">
        <is>
          <t>รวมทั้งสิ้น</t>
        </is>
      </c>
      <c r="C19" s="25" t="inlineStr">
        <is>
          <t>—</t>
        </is>
      </c>
      <c r="D19" s="26">
        <f>SUM(D11:D18)</f>
        <v/>
      </c>
      <c r="E19" s="27">
        <f>SUM(E11:E18)</f>
        <v/>
      </c>
      <c r="F19" s="26">
        <f>SUM(F11:F18)</f>
        <v/>
      </c>
      <c r="G19" s="26">
        <f>SUM(G11:G18)</f>
        <v/>
      </c>
    </row>
    <row r="20"/>
    <row r="21"/>
    <row r="22">
      <c r="B22" s="15" t="inlineStr">
        <is>
          <t>สัดส่วนประชากรจำแนกตามเพศ</t>
        </is>
      </c>
      <c r="E22" s="15" t="inlineStr">
        <is>
          <t>สถานภาพการมีชีวิต</t>
        </is>
      </c>
    </row>
    <row r="23">
      <c r="B23" s="28" t="inlineStr">
        <is>
          <t>เพศ</t>
        </is>
      </c>
      <c r="C23" s="28" t="inlineStr">
        <is>
          <t>จำนวน (คน)</t>
        </is>
      </c>
      <c r="E23" s="28" t="inlineStr">
        <is>
          <t>สถานะ</t>
        </is>
      </c>
      <c r="F23" s="28" t="inlineStr">
        <is>
          <t>จำนวน (คน)</t>
        </is>
      </c>
    </row>
    <row r="24">
      <c r="B24" s="29" t="inlineStr">
        <is>
          <t>ชาย</t>
        </is>
      </c>
      <c r="C24" s="30">
        <f>COUNTIF('ทะเบียนประชากร'!$E$5:$E$73, "ชาย")</f>
        <v/>
      </c>
      <c r="E24" s="29" t="inlineStr">
        <is>
          <t>มีชีวิต</t>
        </is>
      </c>
      <c r="F24" s="30">
        <f>COUNTIF('ทะเบียนประชากร'!$J$5:$J$73, "มีชีวิต")</f>
        <v/>
      </c>
    </row>
    <row r="25">
      <c r="B25" s="29" t="inlineStr">
        <is>
          <t>หญิง</t>
        </is>
      </c>
      <c r="C25" s="30">
        <f>COUNTIF('ทะเบียนประชากร'!$E$5:$E$73, "หญิง")</f>
        <v/>
      </c>
      <c r="E25" s="29" t="inlineStr">
        <is>
          <t>เสียชีวิต</t>
        </is>
      </c>
      <c r="F25" s="30">
        <f>COUNTIF('ทะเบียนประชากร'!$J$5:$J$73, "เสียชีวิต")</f>
        <v/>
      </c>
    </row>
    <row r="26"/>
    <row r="27"/>
    <row r="28">
      <c r="J28" s="15" t="inlineStr">
        <is>
          <t>ข้อสังเกตและข้อมูลสำคัญประจำหมู่บ้าน</t>
        </is>
      </c>
    </row>
    <row r="29" ht="20" customHeight="1">
      <c r="J29" s="31" t="inlineStr">
        <is>
          <t>1. บ้านเรือนที่มีประชากรสูงสุด: บ้านเลขที่ 2 (9 คน), บ้านเลขที่ 43 (8 คน), บ้านเลขที่ 62 (7 คน)</t>
        </is>
      </c>
    </row>
    <row r="30" ht="20" customHeight="1">
      <c r="J30" s="31" t="inlineStr">
        <is>
          <t>2. โครงสร้างประชากรผู้สูงอายุ: มีผู้สูงอายุ (60 ปีขึ้นไป) จำนวน 19 คน คิดเป็นร้อยละ 27.5 ของประชากรทั้งหมด</t>
        </is>
      </c>
    </row>
    <row r="31" ht="20" customHeight="1">
      <c r="J31" s="31" t="inlineStr">
        <is>
          <t>3. กลุ่มวัยแรงงาน: วัยทำงาน (25–59 ปี) มีจำนวนรวม 33 คน คิดเป็นร้อยละ 47.8 ของประชากรทั้งหมด</t>
        </is>
      </c>
    </row>
    <row r="32" ht="20" customHeight="1">
      <c r="J32" s="31" t="inlineStr">
        <is>
          <t>4. วัยเด็กและเยาวชน: อายุ 0–17 ปี มีจำนวนรวม 8 คน คิดเป็นร้อยละ 11.6 ของประชากรทั้งหมด</t>
        </is>
      </c>
    </row>
    <row r="33" ht="20" customHeight="1">
      <c r="J33" s="31" t="inlineStr">
        <is>
          <t>5. สถานะบ้านเรือน: มีเจ้าบ้านลงทะเบียนชัดเจน 16 หลังคาเรือน (ยกเว้นบ้านเลขที่ 55 มีเฉพาะผู้อาศัย)</t>
        </is>
      </c>
    </row>
    <row r="34" ht="20" customHeight="1">
      <c r="J34" s="31" t="inlineStr">
        <is>
          <t>6. ผู้เสียชีวิตในระบบทะเบียน: มีจำนวน 2 คน (บ้านเลขที่ 44 และ 56)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8" customWidth="1" min="4" max="4"/>
    <col width="10" customWidth="1" min="5" max="5"/>
    <col width="16" customWidth="1" min="6" max="6"/>
    <col width="12" customWidth="1" min="7" max="7"/>
    <col width="25" customWidth="1" min="8" max="8"/>
    <col width="16" customWidth="1" min="9" max="9"/>
    <col width="16" customWidth="1" min="10" max="10"/>
    <col width="18" customWidth="1" min="11" max="11"/>
  </cols>
  <sheetData>
    <row r="1" ht="25" customHeight="1">
      <c r="A1" s="32" t="inlineStr">
        <is>
          <t>ทะเบียนข้อมูลประชากรตามบ้านเลขที่ หมู่ 8</t>
        </is>
      </c>
    </row>
    <row r="2" ht="18" customHeight="1">
      <c r="A2" s="33" t="inlineStr">
        <is>
          <t>ข้อมูลรวบรวมและยืนยันล่าสุด | อ้างอิงอายุ ณ วันที่ 3 กันยายน 2569</t>
        </is>
      </c>
    </row>
    <row r="3"/>
    <row r="4" ht="26" customHeight="1">
      <c r="A4" s="16" t="inlineStr">
        <is>
          <t>บ้านเลขที่</t>
        </is>
      </c>
      <c r="B4" s="16" t="inlineStr">
        <is>
          <t>ลำดับ</t>
        </is>
      </c>
      <c r="C4" s="16" t="inlineStr">
        <is>
          <t>เลขประจำตัวประชาชน</t>
        </is>
      </c>
      <c r="D4" s="16" t="inlineStr">
        <is>
          <t>ชื่อ–นามสกุล</t>
        </is>
      </c>
      <c r="E4" s="16" t="inlineStr">
        <is>
          <t>เพศ</t>
        </is>
      </c>
      <c r="F4" s="16" t="inlineStr">
        <is>
          <t>วัน/เดือน/ปีเกิด</t>
        </is>
      </c>
      <c r="G4" s="16" t="inlineStr">
        <is>
          <t>อายุ (ปี)</t>
        </is>
      </c>
      <c r="H4" s="16" t="inlineStr">
        <is>
          <t>ช่วงวัย</t>
        </is>
      </c>
      <c r="I4" s="16" t="inlineStr">
        <is>
          <t>สถานภาพในบ้าน</t>
        </is>
      </c>
      <c r="J4" s="16" t="inlineStr">
        <is>
          <t>สถานะบุคคล</t>
        </is>
      </c>
      <c r="K4" s="16" t="inlineStr">
        <is>
          <t>ประเภทวันเกิด</t>
        </is>
      </c>
    </row>
    <row r="5" ht="20" customHeight="1">
      <c r="A5" s="18" t="n">
        <v>2</v>
      </c>
      <c r="B5" s="18" t="n">
        <v>1</v>
      </c>
      <c r="C5" s="17" t="inlineStr">
        <is>
          <t>3-1012-02664-20-6</t>
        </is>
      </c>
      <c r="D5" s="17" t="inlineStr">
        <is>
          <t>นางสาวกุหลาบ น้ำจันทน์</t>
        </is>
      </c>
      <c r="E5" s="18" t="inlineStr">
        <is>
          <t>หญิง</t>
        </is>
      </c>
      <c r="F5" s="18" t="inlineStr">
        <is>
          <t>พ.ศ. 2485</t>
        </is>
      </c>
      <c r="G5" s="34" t="n">
        <v>84</v>
      </c>
      <c r="H5" s="17">
        <f>IF(J5="เสียชีวิต", "ไม่ระบุอายุปัจจุบัน", IF(ISBLANK(G5), "ไม่ระบุอายุปัจจุบัน", IF(G5&lt;=5, "เด็กเล็ก (0–5 ปี)", IF(G5&lt;=12, "เด็กวัยเรียน (6–12 ปี)", IF(G5&lt;=17, "วัยรุ่น (13–17 ปี)", IF(G5&lt;=24, "วัยหนุ่มสาว (18–24 ปี)", IF(G5&lt;=39, "วัยทำงานตอนต้น (25–39 ปี)", IF(G5&lt;=59, "วัยทำงานตอนกลาง (40–59 ปี)", "ผู้สูงอายุ (60 ปีขึ้นไป)"))))))))</f>
        <v/>
      </c>
      <c r="I5" s="18" t="inlineStr">
        <is>
          <t>เจ้าบ้าน</t>
        </is>
      </c>
      <c r="J5" s="18" t="inlineStr">
        <is>
          <t>มีชีวิต</t>
        </is>
      </c>
      <c r="K5" s="17" t="inlineStr">
        <is>
          <t>ทราบเฉพาะปี</t>
        </is>
      </c>
    </row>
    <row r="6" ht="20" customHeight="1">
      <c r="A6" s="22" t="n">
        <v>2</v>
      </c>
      <c r="B6" s="22" t="n">
        <v>2</v>
      </c>
      <c r="C6" s="21" t="inlineStr">
        <is>
          <t>5-1301-99024-93-6</t>
        </is>
      </c>
      <c r="D6" s="21" t="inlineStr">
        <is>
          <t>นายสมยศ ธาระเลิศ</t>
        </is>
      </c>
      <c r="E6" s="22" t="inlineStr">
        <is>
          <t>ชาย</t>
        </is>
      </c>
      <c r="F6" s="22" t="inlineStr">
        <is>
          <t>19/08/2502</t>
        </is>
      </c>
      <c r="G6" s="35" t="n">
        <v>67</v>
      </c>
      <c r="H6" s="21">
        <f>IF(J6="เสียชีวิต", "ไม่ระบุอายุปัจจุบัน", IF(ISBLANK(G6), "ไม่ระบุอายุปัจจุบัน", IF(G6&lt;=5, "เด็กเล็ก (0–5 ปี)", IF(G6&lt;=12, "เด็กวัยเรียน (6–12 ปี)", IF(G6&lt;=17, "วัยรุ่น (13–17 ปี)", IF(G6&lt;=24, "วัยหนุ่มสาว (18–24 ปี)", IF(G6&lt;=39, "วัยทำงานตอนต้น (25–39 ปี)", IF(G6&lt;=59, "วัยทำงานตอนกลาง (40–59 ปี)", "ผู้สูงอายุ (60 ปีขึ้นไป)"))))))))</f>
        <v/>
      </c>
      <c r="I6" s="22" t="inlineStr">
        <is>
          <t>ผู้อาศัย</t>
        </is>
      </c>
      <c r="J6" s="22" t="inlineStr">
        <is>
          <t>มีชีวิต</t>
        </is>
      </c>
      <c r="K6" s="21" t="inlineStr">
        <is>
          <t>วัน/เดือน/ปีครบ</t>
        </is>
      </c>
    </row>
    <row r="7" ht="20" customHeight="1">
      <c r="A7" s="18" t="n">
        <v>2</v>
      </c>
      <c r="B7" s="18" t="n">
        <v>3</v>
      </c>
      <c r="C7" s="17" t="inlineStr">
        <is>
          <t>3-1012-02664-25-7</t>
        </is>
      </c>
      <c r="D7" s="17" t="inlineStr">
        <is>
          <t>นาง ณภัค เศรษฐอังกูร</t>
        </is>
      </c>
      <c r="E7" s="18" t="inlineStr">
        <is>
          <t>หญิง</t>
        </is>
      </c>
      <c r="F7" s="18" t="inlineStr">
        <is>
          <t>08/10/2505</t>
        </is>
      </c>
      <c r="G7" s="34" t="n">
        <v>63</v>
      </c>
      <c r="H7" s="17">
        <f>IF(J7="เสียชีวิต", "ไม่ระบุอายุปัจจุบัน", IF(ISBLANK(G7), "ไม่ระบุอายุปัจจุบัน", IF(G7&lt;=5, "เด็กเล็ก (0–5 ปี)", IF(G7&lt;=12, "เด็กวัยเรียน (6–12 ปี)", IF(G7&lt;=17, "วัยรุ่น (13–17 ปี)", IF(G7&lt;=24, "วัยหนุ่มสาว (18–24 ปี)", IF(G7&lt;=39, "วัยทำงานตอนต้น (25–39 ปี)", IF(G7&lt;=59, "วัยทำงานตอนกลาง (40–59 ปี)", "ผู้สูงอายุ (60 ปีขึ้นไป)"))))))))</f>
        <v/>
      </c>
      <c r="I7" s="18" t="inlineStr">
        <is>
          <t>ผู้อาศัย</t>
        </is>
      </c>
      <c r="J7" s="18" t="inlineStr">
        <is>
          <t>มีชีวิต</t>
        </is>
      </c>
      <c r="K7" s="17" t="inlineStr">
        <is>
          <t>วัน/เดือน/ปีครบ</t>
        </is>
      </c>
    </row>
    <row r="8" ht="20" customHeight="1">
      <c r="A8" s="22" t="n">
        <v>2</v>
      </c>
      <c r="B8" s="22" t="n">
        <v>4</v>
      </c>
      <c r="C8" s="21" t="inlineStr">
        <is>
          <t>3-1012-02664-33-8</t>
        </is>
      </c>
      <c r="D8" s="21" t="inlineStr">
        <is>
          <t>นายพรชัย ชัยมี</t>
        </is>
      </c>
      <c r="E8" s="22" t="inlineStr">
        <is>
          <t>ชาย</t>
        </is>
      </c>
      <c r="F8" s="22" t="inlineStr">
        <is>
          <t>12/03/2501</t>
        </is>
      </c>
      <c r="G8" s="35" t="n">
        <v>68</v>
      </c>
      <c r="H8" s="21">
        <f>IF(J8="เสียชีวิต", "ไม่ระบุอายุปัจจุบัน", IF(ISBLANK(G8), "ไม่ระบุอายุปัจจุบัน", IF(G8&lt;=5, "เด็กเล็ก (0–5 ปี)", IF(G8&lt;=12, "เด็กวัยเรียน (6–12 ปี)", IF(G8&lt;=17, "วัยรุ่น (13–17 ปี)", IF(G8&lt;=24, "วัยหนุ่มสาว (18–24 ปี)", IF(G8&lt;=39, "วัยทำงานตอนต้น (25–39 ปี)", IF(G8&lt;=59, "วัยทำงานตอนกลาง (40–59 ปี)", "ผู้สูงอายุ (60 ปีขึ้นไป)"))))))))</f>
        <v/>
      </c>
      <c r="I8" s="22" t="inlineStr">
        <is>
          <t>ผู้อาศัย</t>
        </is>
      </c>
      <c r="J8" s="22" t="inlineStr">
        <is>
          <t>มีชีวิต</t>
        </is>
      </c>
      <c r="K8" s="21" t="inlineStr">
        <is>
          <t>วัน/เดือน/ปีครบ</t>
        </is>
      </c>
    </row>
    <row r="9" ht="20" customHeight="1">
      <c r="A9" s="18" t="n">
        <v>2</v>
      </c>
      <c r="B9" s="18" t="n">
        <v>5</v>
      </c>
      <c r="C9" s="17" t="inlineStr">
        <is>
          <t>3-1012-05064-37-1</t>
        </is>
      </c>
      <c r="D9" s="17" t="inlineStr">
        <is>
          <t>นางหทัยรัตน์ เปรมอำพล</t>
        </is>
      </c>
      <c r="E9" s="18" t="inlineStr">
        <is>
          <t>หญิง</t>
        </is>
      </c>
      <c r="F9" s="18" t="inlineStr">
        <is>
          <t>06/03/2501</t>
        </is>
      </c>
      <c r="G9" s="34" t="n">
        <v>68</v>
      </c>
      <c r="H9" s="17">
        <f>IF(J9="เสียชีวิต", "ไม่ระบุอายุปัจจุบัน", IF(ISBLANK(G9), "ไม่ระบุอายุปัจจุบัน", IF(G9&lt;=5, "เด็กเล็ก (0–5 ปี)", IF(G9&lt;=12, "เด็กวัยเรียน (6–12 ปี)", IF(G9&lt;=17, "วัยรุ่น (13–17 ปี)", IF(G9&lt;=24, "วัยหนุ่มสาว (18–24 ปี)", IF(G9&lt;=39, "วัยทำงานตอนต้น (25–39 ปี)", IF(G9&lt;=59, "วัยทำงานตอนกลาง (40–59 ปี)", "ผู้สูงอายุ (60 ปีขึ้นไป)"))))))))</f>
        <v/>
      </c>
      <c r="I9" s="18" t="inlineStr">
        <is>
          <t>ผู้อาศัย</t>
        </is>
      </c>
      <c r="J9" s="18" t="inlineStr">
        <is>
          <t>มีชีวิต</t>
        </is>
      </c>
      <c r="K9" s="17" t="inlineStr">
        <is>
          <t>วัน/เดือน/ปีครบ</t>
        </is>
      </c>
    </row>
    <row r="10" ht="20" customHeight="1">
      <c r="A10" s="22" t="n">
        <v>2</v>
      </c>
      <c r="B10" s="22" t="n">
        <v>6</v>
      </c>
      <c r="C10" s="21" t="inlineStr">
        <is>
          <t>1-1007-01112-40-6</t>
        </is>
      </c>
      <c r="D10" s="21" t="inlineStr">
        <is>
          <t>นายธัชกฤช เศรษฐอังกูร</t>
        </is>
      </c>
      <c r="E10" s="22" t="inlineStr">
        <is>
          <t>ชาย</t>
        </is>
      </c>
      <c r="F10" s="22" t="inlineStr">
        <is>
          <t>25/11/2532</t>
        </is>
      </c>
      <c r="G10" s="35" t="n">
        <v>36</v>
      </c>
      <c r="H10" s="21">
        <f>IF(J10="เสียชีวิต", "ไม่ระบุอายุปัจจุบัน", IF(ISBLANK(G10), "ไม่ระบุอายุปัจจุบัน", IF(G10&lt;=5, "เด็กเล็ก (0–5 ปี)", IF(G10&lt;=12, "เด็กวัยเรียน (6–12 ปี)", IF(G10&lt;=17, "วัยรุ่น (13–17 ปี)", IF(G10&lt;=24, "วัยหนุ่มสาว (18–24 ปี)", IF(G10&lt;=39, "วัยทำงานตอนต้น (25–39 ปี)", IF(G10&lt;=59, "วัยทำงานตอนกลาง (40–59 ปี)", "ผู้สูงอายุ (60 ปีขึ้นไป)"))))))))</f>
        <v/>
      </c>
      <c r="I10" s="22" t="inlineStr">
        <is>
          <t>ผู้อาศัย</t>
        </is>
      </c>
      <c r="J10" s="22" t="inlineStr">
        <is>
          <t>มีชีวิต</t>
        </is>
      </c>
      <c r="K10" s="21" t="inlineStr">
        <is>
          <t>วัน/เดือน/ปีครบ</t>
        </is>
      </c>
    </row>
    <row r="11" ht="20" customHeight="1">
      <c r="A11" s="18" t="n">
        <v>2</v>
      </c>
      <c r="B11" s="18" t="n">
        <v>7</v>
      </c>
      <c r="C11" s="17" t="inlineStr">
        <is>
          <t>1-2503-00133-27-4</t>
        </is>
      </c>
      <c r="D11" s="17" t="inlineStr">
        <is>
          <t>นางสาวสิริยากร ธาระเลิศ</t>
        </is>
      </c>
      <c r="E11" s="18" t="inlineStr">
        <is>
          <t>หญิง</t>
        </is>
      </c>
      <c r="F11" s="18" t="inlineStr">
        <is>
          <t>15/05/2545</t>
        </is>
      </c>
      <c r="G11" s="34" t="n">
        <v>24</v>
      </c>
      <c r="H11" s="17">
        <f>IF(J11="เสียชีวิต", "ไม่ระบุอายุปัจจุบัน", IF(ISBLANK(G11), "ไม่ระบุอายุปัจจุบัน", IF(G11&lt;=5, "เด็กเล็ก (0–5 ปี)", IF(G11&lt;=12, "เด็กวัยเรียน (6–12 ปี)", IF(G11&lt;=17, "วัยรุ่น (13–17 ปี)", IF(G11&lt;=24, "วัยหนุ่มสาว (18–24 ปี)", IF(G11&lt;=39, "วัยทำงานตอนต้น (25–39 ปี)", IF(G11&lt;=59, "วัยทำงานตอนกลาง (40–59 ปี)", "ผู้สูงอายุ (60 ปีขึ้นไป)"))))))))</f>
        <v/>
      </c>
      <c r="I11" s="18" t="inlineStr">
        <is>
          <t>ผู้อาศัย</t>
        </is>
      </c>
      <c r="J11" s="18" t="inlineStr">
        <is>
          <t>มีชีวิต</t>
        </is>
      </c>
      <c r="K11" s="17" t="inlineStr">
        <is>
          <t>วัน/เดือน/ปีครบ</t>
        </is>
      </c>
    </row>
    <row r="12" ht="20" customHeight="1">
      <c r="A12" s="22" t="n">
        <v>2</v>
      </c>
      <c r="B12" s="22" t="n">
        <v>8</v>
      </c>
      <c r="C12" s="21" t="inlineStr">
        <is>
          <t>3-1012-02664-29-0</t>
        </is>
      </c>
      <c r="D12" s="21" t="inlineStr">
        <is>
          <t>นางสาววัชรา ชัยมี</t>
        </is>
      </c>
      <c r="E12" s="22" t="inlineStr">
        <is>
          <t>หญิง</t>
        </is>
      </c>
      <c r="F12" s="22" t="inlineStr">
        <is>
          <t>12/11/2507</t>
        </is>
      </c>
      <c r="G12" s="35" t="n">
        <v>61</v>
      </c>
      <c r="H12" s="21">
        <f>IF(J12="เสียชีวิต", "ไม่ระบุอายุปัจจุบัน", IF(ISBLANK(G12), "ไม่ระบุอายุปัจจุบัน", IF(G12&lt;=5, "เด็กเล็ก (0–5 ปี)", IF(G12&lt;=12, "เด็กวัยเรียน (6–12 ปี)", IF(G12&lt;=17, "วัยรุ่น (13–17 ปี)", IF(G12&lt;=24, "วัยหนุ่มสาว (18–24 ปี)", IF(G12&lt;=39, "วัยทำงานตอนต้น (25–39 ปี)", IF(G12&lt;=59, "วัยทำงานตอนกลาง (40–59 ปี)", "ผู้สูงอายุ (60 ปีขึ้นไป)"))))))))</f>
        <v/>
      </c>
      <c r="I12" s="22" t="inlineStr">
        <is>
          <t>ผู้อาศัย</t>
        </is>
      </c>
      <c r="J12" s="22" t="inlineStr">
        <is>
          <t>มีชีวิต</t>
        </is>
      </c>
      <c r="K12" s="21" t="inlineStr">
        <is>
          <t>วัน/เดือน/ปีครบ</t>
        </is>
      </c>
    </row>
    <row r="13" ht="20" customHeight="1">
      <c r="A13" s="18" t="n">
        <v>2</v>
      </c>
      <c r="B13" s="18" t="n">
        <v>9</v>
      </c>
      <c r="C13" s="17" t="inlineStr">
        <is>
          <t>3-6101-00094-63-4</t>
        </is>
      </c>
      <c r="D13" s="17" t="inlineStr">
        <is>
          <t>นายสุริยา มณีไสย</t>
        </is>
      </c>
      <c r="E13" s="18" t="inlineStr">
        <is>
          <t>ชาย</t>
        </is>
      </c>
      <c r="F13" s="18" t="inlineStr">
        <is>
          <t>06/05/2521</t>
        </is>
      </c>
      <c r="G13" s="34" t="n">
        <v>48</v>
      </c>
      <c r="H13" s="17">
        <f>IF(J13="เสียชีวิต", "ไม่ระบุอายุปัจจุบัน", IF(ISBLANK(G13), "ไม่ระบุอายุปัจจุบัน", IF(G13&lt;=5, "เด็กเล็ก (0–5 ปี)", IF(G13&lt;=12, "เด็กวัยเรียน (6–12 ปี)", IF(G13&lt;=17, "วัยรุ่น (13–17 ปี)", IF(G13&lt;=24, "วัยหนุ่มสาว (18–24 ปี)", IF(G13&lt;=39, "วัยทำงานตอนต้น (25–39 ปี)", IF(G13&lt;=59, "วัยทำงานตอนกลาง (40–59 ปี)", "ผู้สูงอายุ (60 ปีขึ้นไป)"))))))))</f>
        <v/>
      </c>
      <c r="I13" s="18" t="inlineStr">
        <is>
          <t>ผู้อาศัย</t>
        </is>
      </c>
      <c r="J13" s="18" t="inlineStr">
        <is>
          <t>มีชีวิต</t>
        </is>
      </c>
      <c r="K13" s="17" t="inlineStr">
        <is>
          <t>วัน/เดือน/ปีครบ</t>
        </is>
      </c>
    </row>
    <row r="14" ht="20" customHeight="1">
      <c r="A14" s="22" t="n">
        <v>25</v>
      </c>
      <c r="B14" s="22" t="n">
        <v>1</v>
      </c>
      <c r="C14" s="21" t="inlineStr">
        <is>
          <t>3-9201-00123-32-1</t>
        </is>
      </c>
      <c r="D14" s="21" t="inlineStr">
        <is>
          <t>นายเชื้อ ทองรักษ์</t>
        </is>
      </c>
      <c r="E14" s="22" t="inlineStr">
        <is>
          <t>ชาย</t>
        </is>
      </c>
      <c r="F14" s="22" t="inlineStr">
        <is>
          <t>23/08/2490</t>
        </is>
      </c>
      <c r="G14" s="35" t="n">
        <v>79</v>
      </c>
      <c r="H14" s="21">
        <f>IF(J14="เสียชีวิต", "ไม่ระบุอายุปัจจุบัน", IF(ISBLANK(G14), "ไม่ระบุอายุปัจจุบัน", IF(G14&lt;=5, "เด็กเล็ก (0–5 ปี)", IF(G14&lt;=12, "เด็กวัยเรียน (6–12 ปี)", IF(G14&lt;=17, "วัยรุ่น (13–17 ปี)", IF(G14&lt;=24, "วัยหนุ่มสาว (18–24 ปี)", IF(G14&lt;=39, "วัยทำงานตอนต้น (25–39 ปี)", IF(G14&lt;=59, "วัยทำงานตอนกลาง (40–59 ปี)", "ผู้สูงอายุ (60 ปีขึ้นไป)"))))))))</f>
        <v/>
      </c>
      <c r="I14" s="22" t="inlineStr">
        <is>
          <t>เจ้าบ้าน</t>
        </is>
      </c>
      <c r="J14" s="22" t="inlineStr">
        <is>
          <t>มีชีวิต</t>
        </is>
      </c>
      <c r="K14" s="21" t="inlineStr">
        <is>
          <t>วัน/เดือน/ปีครบ</t>
        </is>
      </c>
    </row>
    <row r="15" ht="20" customHeight="1">
      <c r="A15" s="18" t="n">
        <v>25</v>
      </c>
      <c r="B15" s="18" t="n">
        <v>2</v>
      </c>
      <c r="C15" s="17" t="inlineStr">
        <is>
          <t>3-2603-00235-32-4</t>
        </is>
      </c>
      <c r="D15" s="17" t="inlineStr">
        <is>
          <t>น.ส. บังอร ธรรมศีล</t>
        </is>
      </c>
      <c r="E15" s="18" t="inlineStr">
        <is>
          <t>หญิง</t>
        </is>
      </c>
      <c r="F15" s="18" t="inlineStr">
        <is>
          <t>27/08/2510</t>
        </is>
      </c>
      <c r="G15" s="34" t="n">
        <v>59</v>
      </c>
      <c r="H15" s="17">
        <f>IF(J15="เสียชีวิต", "ไม่ระบุอายุปัจจุบัน", IF(ISBLANK(G15), "ไม่ระบุอายุปัจจุบัน", IF(G15&lt;=5, "เด็กเล็ก (0–5 ปี)", IF(G15&lt;=12, "เด็กวัยเรียน (6–12 ปี)", IF(G15&lt;=17, "วัยรุ่น (13–17 ปี)", IF(G15&lt;=24, "วัยหนุ่มสาว (18–24 ปี)", IF(G15&lt;=39, "วัยทำงานตอนต้น (25–39 ปี)", IF(G15&lt;=59, "วัยทำงานตอนกลาง (40–59 ปี)", "ผู้สูงอายุ (60 ปีขึ้นไป)"))))))))</f>
        <v/>
      </c>
      <c r="I15" s="18" t="inlineStr">
        <is>
          <t>ผู้อาศัย</t>
        </is>
      </c>
      <c r="J15" s="18" t="inlineStr">
        <is>
          <t>มีชีวิต</t>
        </is>
      </c>
      <c r="K15" s="17" t="inlineStr">
        <is>
          <t>วัน/เดือน/ปีครบ</t>
        </is>
      </c>
    </row>
    <row r="16" ht="20" customHeight="1">
      <c r="A16" s="22" t="n">
        <v>25</v>
      </c>
      <c r="B16" s="22" t="n">
        <v>3</v>
      </c>
      <c r="C16" s="21" t="inlineStr">
        <is>
          <t>1-2699-00266-89-3</t>
        </is>
      </c>
      <c r="D16" s="21" t="inlineStr">
        <is>
          <t>นายอรรถพล ทองรักษ์</t>
        </is>
      </c>
      <c r="E16" s="22" t="inlineStr">
        <is>
          <t>ชาย</t>
        </is>
      </c>
      <c r="F16" s="22" t="inlineStr">
        <is>
          <t>03/12/2540</t>
        </is>
      </c>
      <c r="G16" s="35" t="n">
        <v>28</v>
      </c>
      <c r="H16" s="21">
        <f>IF(J16="เสียชีวิต", "ไม่ระบุอายุปัจจุบัน", IF(ISBLANK(G16), "ไม่ระบุอายุปัจจุบัน", IF(G16&lt;=5, "เด็กเล็ก (0–5 ปี)", IF(G16&lt;=12, "เด็กวัยเรียน (6–12 ปี)", IF(G16&lt;=17, "วัยรุ่น (13–17 ปี)", IF(G16&lt;=24, "วัยหนุ่มสาว (18–24 ปี)", IF(G16&lt;=39, "วัยทำงานตอนต้น (25–39 ปี)", IF(G16&lt;=59, "วัยทำงานตอนกลาง (40–59 ปี)", "ผู้สูงอายุ (60 ปีขึ้นไป)"))))))))</f>
        <v/>
      </c>
      <c r="I16" s="22" t="inlineStr">
        <is>
          <t>ผู้อาศัย</t>
        </is>
      </c>
      <c r="J16" s="22" t="inlineStr">
        <is>
          <t>มีชีวิต</t>
        </is>
      </c>
      <c r="K16" s="21" t="inlineStr">
        <is>
          <t>วัน/เดือน/ปีครบ</t>
        </is>
      </c>
    </row>
    <row r="17" ht="20" customHeight="1">
      <c r="A17" s="18" t="n">
        <v>25</v>
      </c>
      <c r="B17" s="18" t="n">
        <v>4</v>
      </c>
      <c r="C17" s="17" t="inlineStr">
        <is>
          <t>3-9201-00123-35-6</t>
        </is>
      </c>
      <c r="D17" s="17" t="inlineStr">
        <is>
          <t>น.ส. วราพร ทองรักษ์</t>
        </is>
      </c>
      <c r="E17" s="18" t="inlineStr">
        <is>
          <t>หญิง</t>
        </is>
      </c>
      <c r="F17" s="18" t="inlineStr">
        <is>
          <t>13/11/2511</t>
        </is>
      </c>
      <c r="G17" s="34" t="n">
        <v>57</v>
      </c>
      <c r="H17" s="17">
        <f>IF(J17="เสียชีวิต", "ไม่ระบุอายุปัจจุบัน", IF(ISBLANK(G17), "ไม่ระบุอายุปัจจุบัน", IF(G17&lt;=5, "เด็กเล็ก (0–5 ปี)", IF(G17&lt;=12, "เด็กวัยเรียน (6–12 ปี)", IF(G17&lt;=17, "วัยรุ่น (13–17 ปี)", IF(G17&lt;=24, "วัยหนุ่มสาว (18–24 ปี)", IF(G17&lt;=39, "วัยทำงานตอนต้น (25–39 ปี)", IF(G17&lt;=59, "วัยทำงานตอนกลาง (40–59 ปี)", "ผู้สูงอายุ (60 ปีขึ้นไป)"))))))))</f>
        <v/>
      </c>
      <c r="I17" s="18" t="inlineStr">
        <is>
          <t>ผู้อาศัย</t>
        </is>
      </c>
      <c r="J17" s="18" t="inlineStr">
        <is>
          <t>มีชีวิต</t>
        </is>
      </c>
      <c r="K17" s="17" t="inlineStr">
        <is>
          <t>วัน/เดือน/ปีครบ</t>
        </is>
      </c>
    </row>
    <row r="18" ht="20" customHeight="1">
      <c r="A18" s="22" t="n">
        <v>27</v>
      </c>
      <c r="B18" s="22" t="n">
        <v>1</v>
      </c>
      <c r="C18" s="21" t="inlineStr">
        <is>
          <t>3-2603-00234-82-4</t>
        </is>
      </c>
      <c r="D18" s="21" t="inlineStr">
        <is>
          <t>นายสุบิน โลกนิมิตร</t>
        </is>
      </c>
      <c r="E18" s="22" t="inlineStr">
        <is>
          <t>ชาย</t>
        </is>
      </c>
      <c r="F18" s="22" t="inlineStr">
        <is>
          <t>พ.ศ. 2497</t>
        </is>
      </c>
      <c r="G18" s="35" t="n">
        <v>72</v>
      </c>
      <c r="H18" s="21">
        <f>IF(J18="เสียชีวิต", "ไม่ระบุอายุปัจจุบัน", IF(ISBLANK(G18), "ไม่ระบุอายุปัจจุบัน", IF(G18&lt;=5, "เด็กเล็ก (0–5 ปี)", IF(G18&lt;=12, "เด็กวัยเรียน (6–12 ปี)", IF(G18&lt;=17, "วัยรุ่น (13–17 ปี)", IF(G18&lt;=24, "วัยหนุ่มสาว (18–24 ปี)", IF(G18&lt;=39, "วัยทำงานตอนต้น (25–39 ปี)", IF(G18&lt;=59, "วัยทำงานตอนกลาง (40–59 ปี)", "ผู้สูงอายุ (60 ปีขึ้นไป)"))))))))</f>
        <v/>
      </c>
      <c r="I18" s="22" t="inlineStr">
        <is>
          <t>เจ้าบ้าน</t>
        </is>
      </c>
      <c r="J18" s="22" t="inlineStr">
        <is>
          <t>มีชีวิต</t>
        </is>
      </c>
      <c r="K18" s="21" t="inlineStr">
        <is>
          <t>ทราบเฉพาะปี</t>
        </is>
      </c>
    </row>
    <row r="19" ht="20" customHeight="1">
      <c r="A19" s="18" t="n">
        <v>27</v>
      </c>
      <c r="B19" s="18" t="n">
        <v>2</v>
      </c>
      <c r="C19" s="17" t="inlineStr">
        <is>
          <t>3-2603-00234-83-2</t>
        </is>
      </c>
      <c r="D19" s="17" t="inlineStr">
        <is>
          <t>นางสอาด โลกนิมิตร</t>
        </is>
      </c>
      <c r="E19" s="18" t="inlineStr">
        <is>
          <t>หญิง</t>
        </is>
      </c>
      <c r="F19" s="18" t="inlineStr">
        <is>
          <t>30/10/2499</t>
        </is>
      </c>
      <c r="G19" s="34" t="n">
        <v>69</v>
      </c>
      <c r="H19" s="17">
        <f>IF(J19="เสียชีวิต", "ไม่ระบุอายุปัจจุบัน", IF(ISBLANK(G19), "ไม่ระบุอายุปัจจุบัน", IF(G19&lt;=5, "เด็กเล็ก (0–5 ปี)", IF(G19&lt;=12, "เด็กวัยเรียน (6–12 ปี)", IF(G19&lt;=17, "วัยรุ่น (13–17 ปี)", IF(G19&lt;=24, "วัยหนุ่มสาว (18–24 ปี)", IF(G19&lt;=39, "วัยทำงานตอนต้น (25–39 ปี)", IF(G19&lt;=59, "วัยทำงานตอนกลาง (40–59 ปี)", "ผู้สูงอายุ (60 ปีขึ้นไป)"))))))))</f>
        <v/>
      </c>
      <c r="I19" s="18" t="inlineStr">
        <is>
          <t>ผู้อาศัย</t>
        </is>
      </c>
      <c r="J19" s="18" t="inlineStr">
        <is>
          <t>มีชีวิต</t>
        </is>
      </c>
      <c r="K19" s="17" t="inlineStr">
        <is>
          <t>วัน/เดือน/ปีครบ</t>
        </is>
      </c>
    </row>
    <row r="20" ht="20" customHeight="1">
      <c r="A20" s="22" t="n">
        <v>27</v>
      </c>
      <c r="B20" s="22" t="n">
        <v>3</v>
      </c>
      <c r="C20" s="21" t="inlineStr">
        <is>
          <t>3-2603-00234-84-1</t>
        </is>
      </c>
      <c r="D20" s="21" t="inlineStr">
        <is>
          <t>นายเสริมศักดิ์ โลกนิมิตร</t>
        </is>
      </c>
      <c r="E20" s="22" t="inlineStr">
        <is>
          <t>ชาย</t>
        </is>
      </c>
      <c r="F20" s="22" t="inlineStr">
        <is>
          <t>20/04/2522</t>
        </is>
      </c>
      <c r="G20" s="35" t="n">
        <v>47</v>
      </c>
      <c r="H20" s="21">
        <f>IF(J20="เสียชีวิต", "ไม่ระบุอายุปัจจุบัน", IF(ISBLANK(G20), "ไม่ระบุอายุปัจจุบัน", IF(G20&lt;=5, "เด็กเล็ก (0–5 ปี)", IF(G20&lt;=12, "เด็กวัยเรียน (6–12 ปี)", IF(G20&lt;=17, "วัยรุ่น (13–17 ปี)", IF(G20&lt;=24, "วัยหนุ่มสาว (18–24 ปี)", IF(G20&lt;=39, "วัยทำงานตอนต้น (25–39 ปี)", IF(G20&lt;=59, "วัยทำงานตอนกลาง (40–59 ปี)", "ผู้สูงอายุ (60 ปีขึ้นไป)"))))))))</f>
        <v/>
      </c>
      <c r="I20" s="22" t="inlineStr">
        <is>
          <t>ผู้อาศัย</t>
        </is>
      </c>
      <c r="J20" s="22" t="inlineStr">
        <is>
          <t>มีชีวิต</t>
        </is>
      </c>
      <c r="K20" s="21" t="inlineStr">
        <is>
          <t>วัน/เดือน/ปีครบ</t>
        </is>
      </c>
    </row>
    <row r="21" ht="20" customHeight="1">
      <c r="A21" s="18" t="n">
        <v>28</v>
      </c>
      <c r="B21" s="18" t="n">
        <v>1</v>
      </c>
      <c r="C21" s="17" t="inlineStr">
        <is>
          <t>3-2603-00553-87-3</t>
        </is>
      </c>
      <c r="D21" s="17" t="inlineStr">
        <is>
          <t>น.ส. สมคิด งามประเสริฐ</t>
        </is>
      </c>
      <c r="E21" s="18" t="inlineStr">
        <is>
          <t>หญิง</t>
        </is>
      </c>
      <c r="F21" s="18" t="inlineStr">
        <is>
          <t>14/02/2499</t>
        </is>
      </c>
      <c r="G21" s="34" t="n">
        <v>70</v>
      </c>
      <c r="H21" s="17">
        <f>IF(J21="เสียชีวิต", "ไม่ระบุอายุปัจจุบัน", IF(ISBLANK(G21), "ไม่ระบุอายุปัจจุบัน", IF(G21&lt;=5, "เด็กเล็ก (0–5 ปี)", IF(G21&lt;=12, "เด็กวัยเรียน (6–12 ปี)", IF(G21&lt;=17, "วัยรุ่น (13–17 ปี)", IF(G21&lt;=24, "วัยหนุ่มสาว (18–24 ปี)", IF(G21&lt;=39, "วัยทำงานตอนต้น (25–39 ปี)", IF(G21&lt;=59, "วัยทำงานตอนกลาง (40–59 ปี)", "ผู้สูงอายุ (60 ปีขึ้นไป)"))))))))</f>
        <v/>
      </c>
      <c r="I21" s="18" t="inlineStr">
        <is>
          <t>เจ้าบ้าน</t>
        </is>
      </c>
      <c r="J21" s="18" t="inlineStr">
        <is>
          <t>มีชีวิต</t>
        </is>
      </c>
      <c r="K21" s="17" t="inlineStr">
        <is>
          <t>วัน/เดือน/ปีครบ</t>
        </is>
      </c>
    </row>
    <row r="22" ht="20" customHeight="1">
      <c r="A22" s="22" t="n">
        <v>38</v>
      </c>
      <c r="B22" s="22" t="n">
        <v>1</v>
      </c>
      <c r="C22" s="21" t="inlineStr">
        <is>
          <t>3-2603-00195-55-1</t>
        </is>
      </c>
      <c r="D22" s="21" t="inlineStr">
        <is>
          <t>นาง วันเพ็ญ สุขใจ</t>
        </is>
      </c>
      <c r="E22" s="22" t="inlineStr">
        <is>
          <t>หญิง</t>
        </is>
      </c>
      <c r="F22" s="22" t="inlineStr">
        <is>
          <t>16/02/2506</t>
        </is>
      </c>
      <c r="G22" s="35" t="n">
        <v>63</v>
      </c>
      <c r="H22" s="21">
        <f>IF(J22="เสียชีวิต", "ไม่ระบุอายุปัจจุบัน", IF(ISBLANK(G22), "ไม่ระบุอายุปัจจุบัน", IF(G22&lt;=5, "เด็กเล็ก (0–5 ปี)", IF(G22&lt;=12, "เด็กวัยเรียน (6–12 ปี)", IF(G22&lt;=17, "วัยรุ่น (13–17 ปี)", IF(G22&lt;=24, "วัยหนุ่มสาว (18–24 ปี)", IF(G22&lt;=39, "วัยทำงานตอนต้น (25–39 ปี)", IF(G22&lt;=59, "วัยทำงานตอนกลาง (40–59 ปี)", "ผู้สูงอายุ (60 ปีขึ้นไป)"))))))))</f>
        <v/>
      </c>
      <c r="I22" s="22" t="inlineStr">
        <is>
          <t>เจ้าบ้าน</t>
        </is>
      </c>
      <c r="J22" s="22" t="inlineStr">
        <is>
          <t>มีชีวิต</t>
        </is>
      </c>
      <c r="K22" s="21" t="inlineStr">
        <is>
          <t>วัน/เดือน/ปีครบ</t>
        </is>
      </c>
    </row>
    <row r="23" ht="20" customHeight="1">
      <c r="A23" s="18" t="n">
        <v>38</v>
      </c>
      <c r="B23" s="18" t="n">
        <v>2</v>
      </c>
      <c r="C23" s="17" t="inlineStr">
        <is>
          <t>3-2603-00195-54-3</t>
        </is>
      </c>
      <c r="D23" s="17" t="inlineStr">
        <is>
          <t>นาย ปฐมพงศ์ อรุโณทัย</t>
        </is>
      </c>
      <c r="E23" s="18" t="inlineStr">
        <is>
          <t>ชาย</t>
        </is>
      </c>
      <c r="F23" s="18" t="inlineStr">
        <is>
          <t>01/12/2525</t>
        </is>
      </c>
      <c r="G23" s="34" t="n">
        <v>43</v>
      </c>
      <c r="H23" s="17">
        <f>IF(J23="เสียชีวิต", "ไม่ระบุอายุปัจจุบัน", IF(ISBLANK(G23), "ไม่ระบุอายุปัจจุบัน", IF(G23&lt;=5, "เด็กเล็ก (0–5 ปี)", IF(G23&lt;=12, "เด็กวัยเรียน (6–12 ปี)", IF(G23&lt;=17, "วัยรุ่น (13–17 ปี)", IF(G23&lt;=24, "วัยหนุ่มสาว (18–24 ปี)", IF(G23&lt;=39, "วัยทำงานตอนต้น (25–39 ปี)", IF(G23&lt;=59, "วัยทำงานตอนกลาง (40–59 ปี)", "ผู้สูงอายุ (60 ปีขึ้นไป)"))))))))</f>
        <v/>
      </c>
      <c r="I23" s="18" t="inlineStr">
        <is>
          <t>ผู้อาศัย</t>
        </is>
      </c>
      <c r="J23" s="18" t="inlineStr">
        <is>
          <t>มีชีวิต</t>
        </is>
      </c>
      <c r="K23" s="17" t="inlineStr">
        <is>
          <t>วัน/เดือน/ปีครบ</t>
        </is>
      </c>
    </row>
    <row r="24" ht="20" customHeight="1">
      <c r="A24" s="22" t="n">
        <v>38</v>
      </c>
      <c r="B24" s="22" t="n">
        <v>3</v>
      </c>
      <c r="C24" s="21" t="inlineStr">
        <is>
          <t>1-2603-00169-73-2</t>
        </is>
      </c>
      <c r="D24" s="21" t="inlineStr">
        <is>
          <t>นาย วันเฉลิม เสาร์</t>
        </is>
      </c>
      <c r="E24" s="22" t="inlineStr">
        <is>
          <t>ชาย</t>
        </is>
      </c>
      <c r="F24" s="22" t="inlineStr">
        <is>
          <t>04/12/2548</t>
        </is>
      </c>
      <c r="G24" s="35" t="n">
        <v>20</v>
      </c>
      <c r="H24" s="21">
        <f>IF(J24="เสียชีวิต", "ไม่ระบุอายุปัจจุบัน", IF(ISBLANK(G24), "ไม่ระบุอายุปัจจุบัน", IF(G24&lt;=5, "เด็กเล็ก (0–5 ปี)", IF(G24&lt;=12, "เด็กวัยเรียน (6–12 ปี)", IF(G24&lt;=17, "วัยรุ่น (13–17 ปี)", IF(G24&lt;=24, "วัยหนุ่มสาว (18–24 ปี)", IF(G24&lt;=39, "วัยทำงานตอนต้น (25–39 ปี)", IF(G24&lt;=59, "วัยทำงานตอนกลาง (40–59 ปี)", "ผู้สูงอายุ (60 ปีขึ้นไป)"))))))))</f>
        <v/>
      </c>
      <c r="I24" s="22" t="inlineStr">
        <is>
          <t>ผู้อาศัย</t>
        </is>
      </c>
      <c r="J24" s="22" t="inlineStr">
        <is>
          <t>มีชีวิต</t>
        </is>
      </c>
      <c r="K24" s="21" t="inlineStr">
        <is>
          <t>วัน/เดือน/ปีครบ</t>
        </is>
      </c>
    </row>
    <row r="25" ht="20" customHeight="1">
      <c r="A25" s="18" t="n">
        <v>38</v>
      </c>
      <c r="B25" s="18" t="n">
        <v>4</v>
      </c>
      <c r="C25" s="17" t="inlineStr">
        <is>
          <t>3-1101-00502-74-5</t>
        </is>
      </c>
      <c r="D25" s="17" t="inlineStr">
        <is>
          <t>น.ส. เนาวรัตน์ ชัยชุมพล</t>
        </is>
      </c>
      <c r="E25" s="18" t="inlineStr">
        <is>
          <t>หญิง</t>
        </is>
      </c>
      <c r="F25" s="18" t="inlineStr">
        <is>
          <t>05/09/2512</t>
        </is>
      </c>
      <c r="G25" s="34" t="n">
        <v>56</v>
      </c>
      <c r="H25" s="17">
        <f>IF(J25="เสียชีวิต", "ไม่ระบุอายุปัจจุบัน", IF(ISBLANK(G25), "ไม่ระบุอายุปัจจุบัน", IF(G25&lt;=5, "เด็กเล็ก (0–5 ปี)", IF(G25&lt;=12, "เด็กวัยเรียน (6–12 ปี)", IF(G25&lt;=17, "วัยรุ่น (13–17 ปี)", IF(G25&lt;=24, "วัยหนุ่มสาว (18–24 ปี)", IF(G25&lt;=39, "วัยทำงานตอนต้น (25–39 ปี)", IF(G25&lt;=59, "วัยทำงานตอนกลาง (40–59 ปี)", "ผู้สูงอายุ (60 ปีขึ้นไป)"))))))))</f>
        <v/>
      </c>
      <c r="I25" s="18" t="inlineStr">
        <is>
          <t>ผู้อาศัย</t>
        </is>
      </c>
      <c r="J25" s="18" t="inlineStr">
        <is>
          <t>มีชีวิต</t>
        </is>
      </c>
      <c r="K25" s="17" t="inlineStr">
        <is>
          <t>วัน/เดือน/ปีครบ</t>
        </is>
      </c>
    </row>
    <row r="26" ht="20" customHeight="1">
      <c r="A26" s="22" t="n">
        <v>38</v>
      </c>
      <c r="B26" s="22" t="n">
        <v>5</v>
      </c>
      <c r="C26" s="21" t="inlineStr">
        <is>
          <t>1-8199-00681-45-3</t>
        </is>
      </c>
      <c r="D26" s="21" t="inlineStr">
        <is>
          <t>นาย วีรยุทธ เสาร์</t>
        </is>
      </c>
      <c r="E26" s="22" t="inlineStr">
        <is>
          <t>ชาย</t>
        </is>
      </c>
      <c r="F26" s="22" t="inlineStr">
        <is>
          <t>11/12/2551</t>
        </is>
      </c>
      <c r="G26" s="35" t="n">
        <v>17</v>
      </c>
      <c r="H26" s="21">
        <f>IF(J26="เสียชีวิต", "ไม่ระบุอายุปัจจุบัน", IF(ISBLANK(G26), "ไม่ระบุอายุปัจจุบัน", IF(G26&lt;=5, "เด็กเล็ก (0–5 ปี)", IF(G26&lt;=12, "เด็กวัยเรียน (6–12 ปี)", IF(G26&lt;=17, "วัยรุ่น (13–17 ปี)", IF(G26&lt;=24, "วัยหนุ่มสาว (18–24 ปี)", IF(G26&lt;=39, "วัยทำงานตอนต้น (25–39 ปี)", IF(G26&lt;=59, "วัยทำงานตอนกลาง (40–59 ปี)", "ผู้สูงอายุ (60 ปีขึ้นไป)"))))))))</f>
        <v/>
      </c>
      <c r="I26" s="22" t="inlineStr">
        <is>
          <t>ผู้อาศัย</t>
        </is>
      </c>
      <c r="J26" s="22" t="inlineStr">
        <is>
          <t>มีชีวิต</t>
        </is>
      </c>
      <c r="K26" s="21" t="inlineStr">
        <is>
          <t>วัน/เดือน/ปีครบ</t>
        </is>
      </c>
    </row>
    <row r="27" ht="20" customHeight="1">
      <c r="A27" s="18" t="n">
        <v>43</v>
      </c>
      <c r="B27" s="18" t="n">
        <v>1</v>
      </c>
      <c r="C27" s="17" t="inlineStr">
        <is>
          <t>1-2603-00087-83-3</t>
        </is>
      </c>
      <c r="D27" s="17" t="inlineStr">
        <is>
          <t>นายบุญฤทธิ์ วาวิไลย</t>
        </is>
      </c>
      <c r="E27" s="18" t="inlineStr">
        <is>
          <t>ชาย</t>
        </is>
      </c>
      <c r="F27" s="18" t="inlineStr">
        <is>
          <t>10/06/2536</t>
        </is>
      </c>
      <c r="G27" s="34" t="n">
        <v>33</v>
      </c>
      <c r="H27" s="17">
        <f>IF(J27="เสียชีวิต", "ไม่ระบุอายุปัจจุบัน", IF(ISBLANK(G27), "ไม่ระบุอายุปัจจุบัน", IF(G27&lt;=5, "เด็กเล็ก (0–5 ปี)", IF(G27&lt;=12, "เด็กวัยเรียน (6–12 ปี)", IF(G27&lt;=17, "วัยรุ่น (13–17 ปี)", IF(G27&lt;=24, "วัยหนุ่มสาว (18–24 ปี)", IF(G27&lt;=39, "วัยทำงานตอนต้น (25–39 ปี)", IF(G27&lt;=59, "วัยทำงานตอนกลาง (40–59 ปี)", "ผู้สูงอายุ (60 ปีขึ้นไป)"))))))))</f>
        <v/>
      </c>
      <c r="I27" s="18" t="inlineStr">
        <is>
          <t>เจ้าบ้าน</t>
        </is>
      </c>
      <c r="J27" s="18" t="inlineStr">
        <is>
          <t>มีชีวิต</t>
        </is>
      </c>
      <c r="K27" s="17" t="inlineStr">
        <is>
          <t>วัน/เดือน/ปีครบ</t>
        </is>
      </c>
    </row>
    <row r="28" ht="20" customHeight="1">
      <c r="A28" s="22" t="n">
        <v>43</v>
      </c>
      <c r="B28" s="22" t="n">
        <v>2</v>
      </c>
      <c r="C28" s="21" t="inlineStr">
        <is>
          <t>1-2699-00413-31-4</t>
        </is>
      </c>
      <c r="D28" s="21" t="inlineStr">
        <is>
          <t>นายธันวา วาวิไลย</t>
        </is>
      </c>
      <c r="E28" s="22" t="inlineStr">
        <is>
          <t>ชาย</t>
        </is>
      </c>
      <c r="F28" s="22" t="inlineStr">
        <is>
          <t>21/12/2548</t>
        </is>
      </c>
      <c r="G28" s="35" t="n">
        <v>20</v>
      </c>
      <c r="H28" s="21">
        <f>IF(J28="เสียชีวิต", "ไม่ระบุอายุปัจจุบัน", IF(ISBLANK(G28), "ไม่ระบุอายุปัจจุบัน", IF(G28&lt;=5, "เด็กเล็ก (0–5 ปี)", IF(G28&lt;=12, "เด็กวัยเรียน (6–12 ปี)", IF(G28&lt;=17, "วัยรุ่น (13–17 ปี)", IF(G28&lt;=24, "วัยหนุ่มสาว (18–24 ปี)", IF(G28&lt;=39, "วัยทำงานตอนต้น (25–39 ปี)", IF(G28&lt;=59, "วัยทำงานตอนกลาง (40–59 ปี)", "ผู้สูงอายุ (60 ปีขึ้นไป)"))))))))</f>
        <v/>
      </c>
      <c r="I28" s="22" t="inlineStr">
        <is>
          <t>ผู้อาศัย</t>
        </is>
      </c>
      <c r="J28" s="22" t="inlineStr">
        <is>
          <t>มีชีวิต</t>
        </is>
      </c>
      <c r="K28" s="21" t="inlineStr">
        <is>
          <t>วัน/เดือน/ปีครบ</t>
        </is>
      </c>
    </row>
    <row r="29" ht="20" customHeight="1">
      <c r="A29" s="18" t="n">
        <v>43</v>
      </c>
      <c r="B29" s="18" t="n">
        <v>3</v>
      </c>
      <c r="C29" s="17" t="inlineStr">
        <is>
          <t>3-4601-00257-28-4</t>
        </is>
      </c>
      <c r="D29" s="17" t="inlineStr">
        <is>
          <t>นายลีลา วาวิไลย</t>
        </is>
      </c>
      <c r="E29" s="18" t="inlineStr">
        <is>
          <t>ชาย</t>
        </is>
      </c>
      <c r="F29" s="18" t="inlineStr">
        <is>
          <t>02/11/2511</t>
        </is>
      </c>
      <c r="G29" s="34" t="n">
        <v>57</v>
      </c>
      <c r="H29" s="17">
        <f>IF(J29="เสียชีวิต", "ไม่ระบุอายุปัจจุบัน", IF(ISBLANK(G29), "ไม่ระบุอายุปัจจุบัน", IF(G29&lt;=5, "เด็กเล็ก (0–5 ปี)", IF(G29&lt;=12, "เด็กวัยเรียน (6–12 ปี)", IF(G29&lt;=17, "วัยรุ่น (13–17 ปี)", IF(G29&lt;=24, "วัยหนุ่มสาว (18–24 ปี)", IF(G29&lt;=39, "วัยทำงานตอนต้น (25–39 ปี)", IF(G29&lt;=59, "วัยทำงานตอนกลาง (40–59 ปี)", "ผู้สูงอายุ (60 ปีขึ้นไป)"))))))))</f>
        <v/>
      </c>
      <c r="I29" s="18" t="inlineStr">
        <is>
          <t>ผู้อาศัย</t>
        </is>
      </c>
      <c r="J29" s="18" t="inlineStr">
        <is>
          <t>มีชีวิต</t>
        </is>
      </c>
      <c r="K29" s="17" t="inlineStr">
        <is>
          <t>วัน/เดือน/ปีครบ</t>
        </is>
      </c>
    </row>
    <row r="30" ht="20" customHeight="1">
      <c r="A30" s="22" t="n">
        <v>43</v>
      </c>
      <c r="B30" s="22" t="n">
        <v>4</v>
      </c>
      <c r="C30" s="21" t="inlineStr">
        <is>
          <t>1-1303-00143-12-2</t>
        </is>
      </c>
      <c r="D30" s="21" t="inlineStr">
        <is>
          <t>น.ส. ไพรินทร์</t>
        </is>
      </c>
      <c r="E30" s="22" t="inlineStr">
        <is>
          <t>หญิง</t>
        </is>
      </c>
      <c r="F30" s="22" t="inlineStr">
        <is>
          <t>27/05/2535</t>
        </is>
      </c>
      <c r="G30" s="35" t="n">
        <v>34</v>
      </c>
      <c r="H30" s="21">
        <f>IF(J30="เสียชีวิต", "ไม่ระบุอายุปัจจุบัน", IF(ISBLANK(G30), "ไม่ระบุอายุปัจจุบัน", IF(G30&lt;=5, "เด็กเล็ก (0–5 ปี)", IF(G30&lt;=12, "เด็กวัยเรียน (6–12 ปี)", IF(G30&lt;=17, "วัยรุ่น (13–17 ปี)", IF(G30&lt;=24, "วัยหนุ่มสาว (18–24 ปี)", IF(G30&lt;=39, "วัยทำงานตอนต้น (25–39 ปี)", IF(G30&lt;=59, "วัยทำงานตอนกลาง (40–59 ปี)", "ผู้สูงอายุ (60 ปีขึ้นไป)"))))))))</f>
        <v/>
      </c>
      <c r="I30" s="22" t="inlineStr">
        <is>
          <t>ผู้อาศัย</t>
        </is>
      </c>
      <c r="J30" s="22" t="inlineStr">
        <is>
          <t>มีชีวิต</t>
        </is>
      </c>
      <c r="K30" s="21" t="inlineStr">
        <is>
          <t>วัน/เดือน/ปีครบ</t>
        </is>
      </c>
    </row>
    <row r="31" ht="20" customHeight="1">
      <c r="A31" s="18" t="n">
        <v>43</v>
      </c>
      <c r="B31" s="18" t="n">
        <v>5</v>
      </c>
      <c r="C31" s="17" t="inlineStr">
        <is>
          <t>1-2399-00603-93-8</t>
        </is>
      </c>
      <c r="D31" s="17" t="inlineStr">
        <is>
          <t>ด.ช. พีรภัทร วาวิไลย</t>
        </is>
      </c>
      <c r="E31" s="18" t="inlineStr">
        <is>
          <t>ชาย</t>
        </is>
      </c>
      <c r="F31" s="18" t="inlineStr">
        <is>
          <t>03/12/2560</t>
        </is>
      </c>
      <c r="G31" s="34" t="n">
        <v>8</v>
      </c>
      <c r="H31" s="17">
        <f>IF(J31="เสียชีวิต", "ไม่ระบุอายุปัจจุบัน", IF(ISBLANK(G31), "ไม่ระบุอายุปัจจุบัน", IF(G31&lt;=5, "เด็กเล็ก (0–5 ปี)", IF(G31&lt;=12, "เด็กวัยเรียน (6–12 ปี)", IF(G31&lt;=17, "วัยรุ่น (13–17 ปี)", IF(G31&lt;=24, "วัยหนุ่มสาว (18–24 ปี)", IF(G31&lt;=39, "วัยทำงานตอนต้น (25–39 ปี)", IF(G31&lt;=59, "วัยทำงานตอนกลาง (40–59 ปี)", "ผู้สูงอายุ (60 ปีขึ้นไป)"))))))))</f>
        <v/>
      </c>
      <c r="I31" s="18" t="inlineStr">
        <is>
          <t>ผู้อาศัย</t>
        </is>
      </c>
      <c r="J31" s="18" t="inlineStr">
        <is>
          <t>มีชีวิต</t>
        </is>
      </c>
      <c r="K31" s="17" t="inlineStr">
        <is>
          <t>วัน/เดือน/ปีครบ</t>
        </is>
      </c>
    </row>
    <row r="32" ht="20" customHeight="1">
      <c r="A32" s="22" t="n">
        <v>43</v>
      </c>
      <c r="B32" s="22" t="n">
        <v>6</v>
      </c>
      <c r="C32" s="21" t="inlineStr">
        <is>
          <t>5-1020-00033-01-6</t>
        </is>
      </c>
      <c r="D32" s="21" t="inlineStr">
        <is>
          <t>น.ส. จงจินตร์</t>
        </is>
      </c>
      <c r="E32" s="22" t="inlineStr">
        <is>
          <t>หญิง</t>
        </is>
      </c>
      <c r="F32" s="22" t="inlineStr">
        <is>
          <t>24/07/2516</t>
        </is>
      </c>
      <c r="G32" s="35" t="n">
        <v>53</v>
      </c>
      <c r="H32" s="21">
        <f>IF(J32="เสียชีวิต", "ไม่ระบุอายุปัจจุบัน", IF(ISBLANK(G32), "ไม่ระบุอายุปัจจุบัน", IF(G32&lt;=5, "เด็กเล็ก (0–5 ปี)", IF(G32&lt;=12, "เด็กวัยเรียน (6–12 ปี)", IF(G32&lt;=17, "วัยรุ่น (13–17 ปี)", IF(G32&lt;=24, "วัยหนุ่มสาว (18–24 ปี)", IF(G32&lt;=39, "วัยทำงานตอนต้น (25–39 ปี)", IF(G32&lt;=59, "วัยทำงานตอนกลาง (40–59 ปี)", "ผู้สูงอายุ (60 ปีขึ้นไป)"))))))))</f>
        <v/>
      </c>
      <c r="I32" s="22" t="inlineStr">
        <is>
          <t>ผู้อาศัย</t>
        </is>
      </c>
      <c r="J32" s="22" t="inlineStr">
        <is>
          <t>มีชีวิต</t>
        </is>
      </c>
      <c r="K32" s="21" t="inlineStr">
        <is>
          <t>วัน/เดือน/ปีครบ</t>
        </is>
      </c>
    </row>
    <row r="33" ht="20" customHeight="1">
      <c r="A33" s="18" t="n">
        <v>43</v>
      </c>
      <c r="B33" s="18" t="n">
        <v>7</v>
      </c>
      <c r="C33" s="17" t="inlineStr">
        <is>
          <t>1-1393-00006-52-2</t>
        </is>
      </c>
      <c r="D33" s="17" t="inlineStr">
        <is>
          <t>นาย ศักดิ์สิทธิ์ ปัจฉิม</t>
        </is>
      </c>
      <c r="E33" s="18" t="inlineStr">
        <is>
          <t>ชาย</t>
        </is>
      </c>
      <c r="F33" s="18" t="inlineStr">
        <is>
          <t>01/08/2545</t>
        </is>
      </c>
      <c r="G33" s="34" t="n">
        <v>24</v>
      </c>
      <c r="H33" s="17">
        <f>IF(J33="เสียชีวิต", "ไม่ระบุอายุปัจจุบัน", IF(ISBLANK(G33), "ไม่ระบุอายุปัจจุบัน", IF(G33&lt;=5, "เด็กเล็ก (0–5 ปี)", IF(G33&lt;=12, "เด็กวัยเรียน (6–12 ปี)", IF(G33&lt;=17, "วัยรุ่น (13–17 ปี)", IF(G33&lt;=24, "วัยหนุ่มสาว (18–24 ปี)", IF(G33&lt;=39, "วัยทำงานตอนต้น (25–39 ปี)", IF(G33&lt;=59, "วัยทำงานตอนกลาง (40–59 ปี)", "ผู้สูงอายุ (60 ปีขึ้นไป)"))))))))</f>
        <v/>
      </c>
      <c r="I33" s="18" t="inlineStr">
        <is>
          <t>ผู้อาศัย</t>
        </is>
      </c>
      <c r="J33" s="18" t="inlineStr">
        <is>
          <t>มีชีวิต</t>
        </is>
      </c>
      <c r="K33" s="17" t="inlineStr">
        <is>
          <t>วัน/เดือน/ปีครบ</t>
        </is>
      </c>
    </row>
    <row r="34" ht="20" customHeight="1">
      <c r="A34" s="22" t="n">
        <v>43</v>
      </c>
      <c r="B34" s="22" t="n">
        <v>8</v>
      </c>
      <c r="C34" s="21" t="inlineStr">
        <is>
          <t>1-5101-01868-84-1</t>
        </is>
      </c>
      <c r="D34" s="21" t="inlineStr">
        <is>
          <t>ด.ช. พีรพล วาวิไลย</t>
        </is>
      </c>
      <c r="E34" s="22" t="inlineStr">
        <is>
          <t>ชาย</t>
        </is>
      </c>
      <c r="F34" s="22" t="inlineStr">
        <is>
          <t>01/02/2566</t>
        </is>
      </c>
      <c r="G34" s="35" t="n">
        <v>3</v>
      </c>
      <c r="H34" s="21">
        <f>IF(J34="เสียชีวิต", "ไม่ระบุอายุปัจจุบัน", IF(ISBLANK(G34), "ไม่ระบุอายุปัจจุบัน", IF(G34&lt;=5, "เด็กเล็ก (0–5 ปี)", IF(G34&lt;=12, "เด็กวัยเรียน (6–12 ปี)", IF(G34&lt;=17, "วัยรุ่น (13–17 ปี)", IF(G34&lt;=24, "วัยหนุ่มสาว (18–24 ปี)", IF(G34&lt;=39, "วัยทำงานตอนต้น (25–39 ปี)", IF(G34&lt;=59, "วัยทำงานตอนกลาง (40–59 ปี)", "ผู้สูงอายุ (60 ปีขึ้นไป)"))))))))</f>
        <v/>
      </c>
      <c r="I34" s="22" t="inlineStr">
        <is>
          <t>ผู้อาศัย</t>
        </is>
      </c>
      <c r="J34" s="22" t="inlineStr">
        <is>
          <t>มีชีวิต</t>
        </is>
      </c>
      <c r="K34" s="21" t="inlineStr">
        <is>
          <t>วัน/เดือน/ปีครบ</t>
        </is>
      </c>
    </row>
    <row r="35" ht="20" customHeight="1">
      <c r="A35" s="18" t="n">
        <v>44</v>
      </c>
      <c r="B35" s="18" t="n">
        <v>1</v>
      </c>
      <c r="C35" s="17" t="inlineStr">
        <is>
          <t>1-1043-00570-92-0</t>
        </is>
      </c>
      <c r="D35" s="17" t="inlineStr">
        <is>
          <t>นายวีรพันธุ แก้วประดับ</t>
        </is>
      </c>
      <c r="E35" s="18" t="inlineStr">
        <is>
          <t>ชาย</t>
        </is>
      </c>
      <c r="F35" s="18" t="inlineStr">
        <is>
          <t>04/12/2545</t>
        </is>
      </c>
      <c r="G35" s="34" t="n">
        <v>23</v>
      </c>
      <c r="H35" s="17">
        <f>IF(J35="เสียชีวิต", "ไม่ระบุอายุปัจจุบัน", IF(ISBLANK(G35), "ไม่ระบุอายุปัจจุบัน", IF(G35&lt;=5, "เด็กเล็ก (0–5 ปี)", IF(G35&lt;=12, "เด็กวัยเรียน (6–12 ปี)", IF(G35&lt;=17, "วัยรุ่น (13–17 ปี)", IF(G35&lt;=24, "วัยหนุ่มสาว (18–24 ปี)", IF(G35&lt;=39, "วัยทำงานตอนต้น (25–39 ปี)", IF(G35&lt;=59, "วัยทำงานตอนกลาง (40–59 ปี)", "ผู้สูงอายุ (60 ปีขึ้นไป)"))))))))</f>
        <v/>
      </c>
      <c r="I35" s="18" t="inlineStr">
        <is>
          <t>เจ้าบ้าน</t>
        </is>
      </c>
      <c r="J35" s="18" t="inlineStr">
        <is>
          <t>มีชีวิต</t>
        </is>
      </c>
      <c r="K35" s="17" t="inlineStr">
        <is>
          <t>วัน/เดือน/ปีครบ</t>
        </is>
      </c>
    </row>
    <row r="36" ht="20" customHeight="1">
      <c r="A36" s="22" t="n">
        <v>44</v>
      </c>
      <c r="B36" s="22" t="n">
        <v>2</v>
      </c>
      <c r="C36" s="21" t="inlineStr">
        <is>
          <t>3-2603-00417-00-7</t>
        </is>
      </c>
      <c r="D36" s="21" t="inlineStr">
        <is>
          <t>นายวีรพงษ์ แก้วประดับ</t>
        </is>
      </c>
      <c r="E36" s="22" t="inlineStr">
        <is>
          <t>ชาย</t>
        </is>
      </c>
      <c r="F36" s="22" t="inlineStr">
        <is>
          <t>18/08/2524</t>
        </is>
      </c>
      <c r="G36" s="22" t="inlineStr">
        <is>
          <t>—</t>
        </is>
      </c>
      <c r="H36" s="21">
        <f>IF(J36="เสียชีวิต", "ไม่ระบุอายุปัจจุบัน", IF(ISBLANK(G36), "ไม่ระบุอายุปัจจุบัน", IF(G36&lt;=5, "เด็กเล็ก (0–5 ปี)", IF(G36&lt;=12, "เด็กวัยเรียน (6–12 ปี)", IF(G36&lt;=17, "วัยรุ่น (13–17 ปี)", IF(G36&lt;=24, "วัยหนุ่มสาว (18–24 ปี)", IF(G36&lt;=39, "วัยทำงานตอนต้น (25–39 ปี)", IF(G36&lt;=59, "วัยทำงานตอนกลาง (40–59 ปี)", "ผู้สูงอายุ (60 ปีขึ้นไป)"))))))))</f>
        <v/>
      </c>
      <c r="I36" s="22" t="inlineStr">
        <is>
          <t>ผู้อาศัย</t>
        </is>
      </c>
      <c r="J36" s="22" t="inlineStr">
        <is>
          <t>เสียชีวิต</t>
        </is>
      </c>
      <c r="K36" s="21" t="inlineStr">
        <is>
          <t>วัน/เดือน/ปีครบ</t>
        </is>
      </c>
    </row>
    <row r="37" ht="20" customHeight="1">
      <c r="A37" s="18" t="n">
        <v>44</v>
      </c>
      <c r="B37" s="18" t="n">
        <v>3</v>
      </c>
      <c r="C37" s="17" t="inlineStr">
        <is>
          <t>1-2603-00075-39-8</t>
        </is>
      </c>
      <c r="D37" s="17" t="inlineStr">
        <is>
          <t>นายสุชาติ แก้วประดับ</t>
        </is>
      </c>
      <c r="E37" s="18" t="inlineStr">
        <is>
          <t>ชาย</t>
        </is>
      </c>
      <c r="F37" s="18" t="inlineStr">
        <is>
          <t>29/10/2533</t>
        </is>
      </c>
      <c r="G37" s="34" t="n">
        <v>35</v>
      </c>
      <c r="H37" s="17">
        <f>IF(J37="เสียชีวิต", "ไม่ระบุอายุปัจจุบัน", IF(ISBLANK(G37), "ไม่ระบุอายุปัจจุบัน", IF(G37&lt;=5, "เด็กเล็ก (0–5 ปี)", IF(G37&lt;=12, "เด็กวัยเรียน (6–12 ปี)", IF(G37&lt;=17, "วัยรุ่น (13–17 ปี)", IF(G37&lt;=24, "วัยหนุ่มสาว (18–24 ปี)", IF(G37&lt;=39, "วัยทำงานตอนต้น (25–39 ปี)", IF(G37&lt;=59, "วัยทำงานตอนกลาง (40–59 ปี)", "ผู้สูงอายุ (60 ปีขึ้นไป)"))))))))</f>
        <v/>
      </c>
      <c r="I37" s="18" t="inlineStr">
        <is>
          <t>ผู้อาศัย</t>
        </is>
      </c>
      <c r="J37" s="18" t="inlineStr">
        <is>
          <t>มีชีวิต</t>
        </is>
      </c>
      <c r="K37" s="17" t="inlineStr">
        <is>
          <t>วัน/เดือน/ปีครบ</t>
        </is>
      </c>
    </row>
    <row r="38" ht="20" customHeight="1">
      <c r="A38" s="22" t="n">
        <v>44</v>
      </c>
      <c r="B38" s="22" t="n">
        <v>4</v>
      </c>
      <c r="C38" s="21" t="inlineStr">
        <is>
          <t>1-3399-00295-11-6</t>
        </is>
      </c>
      <c r="D38" s="21" t="inlineStr">
        <is>
          <t>น.ส. นิตยา สิทโธ</t>
        </is>
      </c>
      <c r="E38" s="22" t="inlineStr">
        <is>
          <t>หญิง</t>
        </is>
      </c>
      <c r="F38" s="22" t="inlineStr">
        <is>
          <t>28/04/2536</t>
        </is>
      </c>
      <c r="G38" s="35" t="n">
        <v>33</v>
      </c>
      <c r="H38" s="21">
        <f>IF(J38="เสียชีวิต", "ไม่ระบุอายุปัจจุบัน", IF(ISBLANK(G38), "ไม่ระบุอายุปัจจุบัน", IF(G38&lt;=5, "เด็กเล็ก (0–5 ปี)", IF(G38&lt;=12, "เด็กวัยเรียน (6–12 ปี)", IF(G38&lt;=17, "วัยรุ่น (13–17 ปี)", IF(G38&lt;=24, "วัยหนุ่มสาว (18–24 ปี)", IF(G38&lt;=39, "วัยทำงานตอนต้น (25–39 ปี)", IF(G38&lt;=59, "วัยทำงานตอนกลาง (40–59 ปี)", "ผู้สูงอายุ (60 ปีขึ้นไป)"))))))))</f>
        <v/>
      </c>
      <c r="I38" s="22" t="inlineStr">
        <is>
          <t>ผู้อาศัย</t>
        </is>
      </c>
      <c r="J38" s="22" t="inlineStr">
        <is>
          <t>มีชีวิต</t>
        </is>
      </c>
      <c r="K38" s="21" t="inlineStr">
        <is>
          <t>วัน/เดือน/ปีครบ</t>
        </is>
      </c>
    </row>
    <row r="39" ht="20" customHeight="1">
      <c r="A39" s="18" t="n">
        <v>44</v>
      </c>
      <c r="B39" s="18" t="n">
        <v>5</v>
      </c>
      <c r="C39" s="17" t="inlineStr">
        <is>
          <t>3-3005-00058-80-8</t>
        </is>
      </c>
      <c r="D39" s="17" t="inlineStr">
        <is>
          <t>น.ส. พะเยา โค้งนอก</t>
        </is>
      </c>
      <c r="E39" s="18" t="inlineStr">
        <is>
          <t>หญิง</t>
        </is>
      </c>
      <c r="F39" s="18" t="inlineStr">
        <is>
          <t>14/08/2519</t>
        </is>
      </c>
      <c r="G39" s="34" t="n">
        <v>50</v>
      </c>
      <c r="H39" s="17">
        <f>IF(J39="เสียชีวิต", "ไม่ระบุอายุปัจจุบัน", IF(ISBLANK(G39), "ไม่ระบุอายุปัจจุบัน", IF(G39&lt;=5, "เด็กเล็ก (0–5 ปี)", IF(G39&lt;=12, "เด็กวัยเรียน (6–12 ปี)", IF(G39&lt;=17, "วัยรุ่น (13–17 ปี)", IF(G39&lt;=24, "วัยหนุ่มสาว (18–24 ปี)", IF(G39&lt;=39, "วัยทำงานตอนต้น (25–39 ปี)", IF(G39&lt;=59, "วัยทำงานตอนกลาง (40–59 ปี)", "ผู้สูงอายุ (60 ปีขึ้นไป)"))))))))</f>
        <v/>
      </c>
      <c r="I39" s="18" t="inlineStr">
        <is>
          <t>ผู้อาศัย</t>
        </is>
      </c>
      <c r="J39" s="18" t="inlineStr">
        <is>
          <t>มีชีวิต</t>
        </is>
      </c>
      <c r="K39" s="17" t="inlineStr">
        <is>
          <t>วัน/เดือน/ปีครบ</t>
        </is>
      </c>
    </row>
    <row r="40" ht="20" customHeight="1">
      <c r="A40" s="22" t="n">
        <v>49</v>
      </c>
      <c r="B40" s="22" t="n">
        <v>1</v>
      </c>
      <c r="C40" s="21" t="inlineStr">
        <is>
          <t>3-2603-00083-28-1</t>
        </is>
      </c>
      <c r="D40" s="21" t="inlineStr">
        <is>
          <t>นายจงรักษ์ เจริญนา</t>
        </is>
      </c>
      <c r="E40" s="22" t="inlineStr">
        <is>
          <t>ชาย</t>
        </is>
      </c>
      <c r="F40" s="22" t="inlineStr">
        <is>
          <t>21/04/2515</t>
        </is>
      </c>
      <c r="G40" s="35" t="n">
        <v>54</v>
      </c>
      <c r="H40" s="21">
        <f>IF(J40="เสียชีวิต", "ไม่ระบุอายุปัจจุบัน", IF(ISBLANK(G40), "ไม่ระบุอายุปัจจุบัน", IF(G40&lt;=5, "เด็กเล็ก (0–5 ปี)", IF(G40&lt;=12, "เด็กวัยเรียน (6–12 ปี)", IF(G40&lt;=17, "วัยรุ่น (13–17 ปี)", IF(G40&lt;=24, "วัยหนุ่มสาว (18–24 ปี)", IF(G40&lt;=39, "วัยทำงานตอนต้น (25–39 ปี)", IF(G40&lt;=59, "วัยทำงานตอนกลาง (40–59 ปี)", "ผู้สูงอายุ (60 ปีขึ้นไป)"))))))))</f>
        <v/>
      </c>
      <c r="I40" s="22" t="inlineStr">
        <is>
          <t>เจ้าบ้าน</t>
        </is>
      </c>
      <c r="J40" s="22" t="inlineStr">
        <is>
          <t>มีชีวิต</t>
        </is>
      </c>
      <c r="K40" s="21" t="inlineStr">
        <is>
          <t>วัน/เดือน/ปีครบ</t>
        </is>
      </c>
    </row>
    <row r="41" ht="20" customHeight="1">
      <c r="A41" s="18" t="n">
        <v>49</v>
      </c>
      <c r="B41" s="18" t="n">
        <v>2</v>
      </c>
      <c r="C41" s="17" t="inlineStr">
        <is>
          <t>3-2603-00234-96-4</t>
        </is>
      </c>
      <c r="D41" s="17" t="inlineStr">
        <is>
          <t>นางม้วน เจริญนา</t>
        </is>
      </c>
      <c r="E41" s="18" t="inlineStr">
        <is>
          <t>หญิง</t>
        </is>
      </c>
      <c r="F41" s="18" t="inlineStr">
        <is>
          <t>08/01/2516</t>
        </is>
      </c>
      <c r="G41" s="34" t="n">
        <v>53</v>
      </c>
      <c r="H41" s="17">
        <f>IF(J41="เสียชีวิต", "ไม่ระบุอายุปัจจุบัน", IF(ISBLANK(G41), "ไม่ระบุอายุปัจจุบัน", IF(G41&lt;=5, "เด็กเล็ก (0–5 ปี)", IF(G41&lt;=12, "เด็กวัยเรียน (6–12 ปี)", IF(G41&lt;=17, "วัยรุ่น (13–17 ปี)", IF(G41&lt;=24, "วัยหนุ่มสาว (18–24 ปี)", IF(G41&lt;=39, "วัยทำงานตอนต้น (25–39 ปี)", IF(G41&lt;=59, "วัยทำงานตอนกลาง (40–59 ปี)", "ผู้สูงอายุ (60 ปีขึ้นไป)"))))))))</f>
        <v/>
      </c>
      <c r="I41" s="18" t="inlineStr">
        <is>
          <t>ผู้อาศัย</t>
        </is>
      </c>
      <c r="J41" s="18" t="inlineStr">
        <is>
          <t>มีชีวิต</t>
        </is>
      </c>
      <c r="K41" s="17" t="inlineStr">
        <is>
          <t>วัน/เดือน/ปีครบ</t>
        </is>
      </c>
    </row>
    <row r="42" ht="20" customHeight="1">
      <c r="A42" s="22" t="n">
        <v>49</v>
      </c>
      <c r="B42" s="22" t="n">
        <v>3</v>
      </c>
      <c r="C42" s="21" t="inlineStr">
        <is>
          <t>1-2603-00100-83-0</t>
        </is>
      </c>
      <c r="D42" s="21" t="inlineStr">
        <is>
          <t>นายวรวัฒน์ เจริญนา</t>
        </is>
      </c>
      <c r="E42" s="22" t="inlineStr">
        <is>
          <t>ชาย</t>
        </is>
      </c>
      <c r="F42" s="22" t="inlineStr">
        <is>
          <t>27/10/2538</t>
        </is>
      </c>
      <c r="G42" s="35" t="n">
        <v>30</v>
      </c>
      <c r="H42" s="21">
        <f>IF(J42="เสียชีวิต", "ไม่ระบุอายุปัจจุบัน", IF(ISBLANK(G42), "ไม่ระบุอายุปัจจุบัน", IF(G42&lt;=5, "เด็กเล็ก (0–5 ปี)", IF(G42&lt;=12, "เด็กวัยเรียน (6–12 ปี)", IF(G42&lt;=17, "วัยรุ่น (13–17 ปี)", IF(G42&lt;=24, "วัยหนุ่มสาว (18–24 ปี)", IF(G42&lt;=39, "วัยทำงานตอนต้น (25–39 ปี)", IF(G42&lt;=59, "วัยทำงานตอนกลาง (40–59 ปี)", "ผู้สูงอายุ (60 ปีขึ้นไป)"))))))))</f>
        <v/>
      </c>
      <c r="I42" s="22" t="inlineStr">
        <is>
          <t>ผู้อาศัย</t>
        </is>
      </c>
      <c r="J42" s="22" t="inlineStr">
        <is>
          <t>มีชีวิต</t>
        </is>
      </c>
      <c r="K42" s="21" t="inlineStr">
        <is>
          <t>วัน/เดือน/ปีครบ</t>
        </is>
      </c>
    </row>
    <row r="43" ht="20" customHeight="1">
      <c r="A43" s="18" t="n">
        <v>49</v>
      </c>
      <c r="B43" s="18" t="n">
        <v>4</v>
      </c>
      <c r="C43" s="17" t="inlineStr">
        <is>
          <t>1-2604-01295-14-8</t>
        </is>
      </c>
      <c r="D43" s="17" t="inlineStr">
        <is>
          <t>ด.ช. ธวัชชัย เจริญนา</t>
        </is>
      </c>
      <c r="E43" s="18" t="inlineStr">
        <is>
          <t>ชาย</t>
        </is>
      </c>
      <c r="F43" s="18" t="inlineStr">
        <is>
          <t>02/05/2558</t>
        </is>
      </c>
      <c r="G43" s="34" t="n">
        <v>11</v>
      </c>
      <c r="H43" s="17">
        <f>IF(J43="เสียชีวิต", "ไม่ระบุอายุปัจจุบัน", IF(ISBLANK(G43), "ไม่ระบุอายุปัจจุบัน", IF(G43&lt;=5, "เด็กเล็ก (0–5 ปี)", IF(G43&lt;=12, "เด็กวัยเรียน (6–12 ปี)", IF(G43&lt;=17, "วัยรุ่น (13–17 ปี)", IF(G43&lt;=24, "วัยหนุ่มสาว (18–24 ปี)", IF(G43&lt;=39, "วัยทำงานตอนต้น (25–39 ปี)", IF(G43&lt;=59, "วัยทำงานตอนกลาง (40–59 ปี)", "ผู้สูงอายุ (60 ปีขึ้นไป)"))))))))</f>
        <v/>
      </c>
      <c r="I43" s="18" t="inlineStr">
        <is>
          <t>ผู้อาศัย</t>
        </is>
      </c>
      <c r="J43" s="18" t="inlineStr">
        <is>
          <t>มีชีวิต</t>
        </is>
      </c>
      <c r="K43" s="17" t="inlineStr">
        <is>
          <t>วัน/เดือน/ปีครบ</t>
        </is>
      </c>
    </row>
    <row r="44" ht="20" customHeight="1">
      <c r="A44" s="22" t="n">
        <v>49</v>
      </c>
      <c r="B44" s="22" t="n">
        <v>5</v>
      </c>
      <c r="C44" s="21" t="inlineStr">
        <is>
          <t>1-2603-00087-46-9</t>
        </is>
      </c>
      <c r="D44" s="21" t="inlineStr">
        <is>
          <t>นายวราวุฒิ เจริญนา</t>
        </is>
      </c>
      <c r="E44" s="22" t="inlineStr">
        <is>
          <t>ชาย</t>
        </is>
      </c>
      <c r="F44" s="22" t="inlineStr">
        <is>
          <t>02/05/2536</t>
        </is>
      </c>
      <c r="G44" s="35" t="n">
        <v>33</v>
      </c>
      <c r="H44" s="21">
        <f>IF(J44="เสียชีวิต", "ไม่ระบุอายุปัจจุบัน", IF(ISBLANK(G44), "ไม่ระบุอายุปัจจุบัน", IF(G44&lt;=5, "เด็กเล็ก (0–5 ปี)", IF(G44&lt;=12, "เด็กวัยเรียน (6–12 ปี)", IF(G44&lt;=17, "วัยรุ่น (13–17 ปี)", IF(G44&lt;=24, "วัยหนุ่มสาว (18–24 ปี)", IF(G44&lt;=39, "วัยทำงานตอนต้น (25–39 ปี)", IF(G44&lt;=59, "วัยทำงานตอนกลาง (40–59 ปี)", "ผู้สูงอายุ (60 ปีขึ้นไป)"))))))))</f>
        <v/>
      </c>
      <c r="I44" s="22" t="inlineStr">
        <is>
          <t>ผู้อาศัย</t>
        </is>
      </c>
      <c r="J44" s="22" t="inlineStr">
        <is>
          <t>มีชีวิต</t>
        </is>
      </c>
      <c r="K44" s="21" t="inlineStr">
        <is>
          <t>วัน/เดือน/ปีครบ</t>
        </is>
      </c>
    </row>
    <row r="45" ht="20" customHeight="1">
      <c r="A45" s="18" t="n">
        <v>54</v>
      </c>
      <c r="B45" s="18" t="n">
        <v>1</v>
      </c>
      <c r="C45" s="17" t="inlineStr">
        <is>
          <t>3-2603-00233-62-3</t>
        </is>
      </c>
      <c r="D45" s="17" t="inlineStr">
        <is>
          <t>นางสมจิตร แก้วประดับ</t>
        </is>
      </c>
      <c r="E45" s="18" t="inlineStr">
        <is>
          <t>หญิง</t>
        </is>
      </c>
      <c r="F45" s="18" t="inlineStr">
        <is>
          <t>26/09/2501</t>
        </is>
      </c>
      <c r="G45" s="34" t="n">
        <v>67</v>
      </c>
      <c r="H45" s="17">
        <f>IF(J45="เสียชีวิต", "ไม่ระบุอายุปัจจุบัน", IF(ISBLANK(G45), "ไม่ระบุอายุปัจจุบัน", IF(G45&lt;=5, "เด็กเล็ก (0–5 ปี)", IF(G45&lt;=12, "เด็กวัยเรียน (6–12 ปี)", IF(G45&lt;=17, "วัยรุ่น (13–17 ปี)", IF(G45&lt;=24, "วัยหนุ่มสาว (18–24 ปี)", IF(G45&lt;=39, "วัยทำงานตอนต้น (25–39 ปี)", IF(G45&lt;=59, "วัยทำงานตอนกลาง (40–59 ปี)", "ผู้สูงอายุ (60 ปีขึ้นไป)"))))))))</f>
        <v/>
      </c>
      <c r="I45" s="18" t="inlineStr">
        <is>
          <t>เจ้าบ้าน</t>
        </is>
      </c>
      <c r="J45" s="18" t="inlineStr">
        <is>
          <t>มีชีวิต</t>
        </is>
      </c>
      <c r="K45" s="17" t="inlineStr">
        <is>
          <t>วัน/เดือน/ปีครบ</t>
        </is>
      </c>
    </row>
    <row r="46" ht="20" customHeight="1">
      <c r="A46" s="22" t="n">
        <v>54</v>
      </c>
      <c r="B46" s="22" t="n">
        <v>2</v>
      </c>
      <c r="C46" s="21" t="inlineStr">
        <is>
          <t>1-2603-00001-44-1</t>
        </is>
      </c>
      <c r="D46" s="21" t="inlineStr">
        <is>
          <t>น.ส. อาภาพร แก้วประดับ</t>
        </is>
      </c>
      <c r="E46" s="22" t="inlineStr">
        <is>
          <t>หญิง</t>
        </is>
      </c>
      <c r="F46" s="22" t="inlineStr">
        <is>
          <t>03/02/2527</t>
        </is>
      </c>
      <c r="G46" s="35" t="n">
        <v>42</v>
      </c>
      <c r="H46" s="21">
        <f>IF(J46="เสียชีวิต", "ไม่ระบุอายุปัจจุบัน", IF(ISBLANK(G46), "ไม่ระบุอายุปัจจุบัน", IF(G46&lt;=5, "เด็กเล็ก (0–5 ปี)", IF(G46&lt;=12, "เด็กวัยเรียน (6–12 ปี)", IF(G46&lt;=17, "วัยรุ่น (13–17 ปี)", IF(G46&lt;=24, "วัยหนุ่มสาว (18–24 ปี)", IF(G46&lt;=39, "วัยทำงานตอนต้น (25–39 ปี)", IF(G46&lt;=59, "วัยทำงานตอนกลาง (40–59 ปี)", "ผู้สูงอายุ (60 ปีขึ้นไป)"))))))))</f>
        <v/>
      </c>
      <c r="I46" s="22" t="inlineStr">
        <is>
          <t>ผู้อาศัย</t>
        </is>
      </c>
      <c r="J46" s="22" t="inlineStr">
        <is>
          <t>มีชีวิต</t>
        </is>
      </c>
      <c r="K46" s="21" t="inlineStr">
        <is>
          <t>วัน/เดือน/ปีครบ</t>
        </is>
      </c>
    </row>
    <row r="47" ht="20" customHeight="1">
      <c r="A47" s="18" t="n">
        <v>54</v>
      </c>
      <c r="B47" s="18" t="n">
        <v>3</v>
      </c>
      <c r="C47" s="17" t="inlineStr">
        <is>
          <t>1-1015-00142-01-5</t>
        </is>
      </c>
      <c r="D47" s="17" t="inlineStr">
        <is>
          <t>นาย นิตินัย แก้วประดับ</t>
        </is>
      </c>
      <c r="E47" s="18" t="inlineStr">
        <is>
          <t>ชาย</t>
        </is>
      </c>
      <c r="F47" s="18" t="inlineStr">
        <is>
          <t>08/02/2529</t>
        </is>
      </c>
      <c r="G47" s="34" t="n">
        <v>40</v>
      </c>
      <c r="H47" s="17">
        <f>IF(J47="เสียชีวิต", "ไม่ระบุอายุปัจจุบัน", IF(ISBLANK(G47), "ไม่ระบุอายุปัจจุบัน", IF(G47&lt;=5, "เด็กเล็ก (0–5 ปี)", IF(G47&lt;=12, "เด็กวัยเรียน (6–12 ปี)", IF(G47&lt;=17, "วัยรุ่น (13–17 ปี)", IF(G47&lt;=24, "วัยหนุ่มสาว (18–24 ปี)", IF(G47&lt;=39, "วัยทำงานตอนต้น (25–39 ปี)", IF(G47&lt;=59, "วัยทำงานตอนกลาง (40–59 ปี)", "ผู้สูงอายุ (60 ปีขึ้นไป)"))))))))</f>
        <v/>
      </c>
      <c r="I47" s="18" t="inlineStr">
        <is>
          <t>ผู้อาศัย</t>
        </is>
      </c>
      <c r="J47" s="18" t="inlineStr">
        <is>
          <t>มีชีวิต</t>
        </is>
      </c>
      <c r="K47" s="17" t="inlineStr">
        <is>
          <t>วัน/เดือน/ปีครบ</t>
        </is>
      </c>
    </row>
    <row r="48" ht="20" customHeight="1">
      <c r="A48" s="22" t="n">
        <v>55</v>
      </c>
      <c r="B48" s="22" t="n">
        <v>1</v>
      </c>
      <c r="C48" s="21" t="inlineStr">
        <is>
          <t>3-2603-00233-70-4</t>
        </is>
      </c>
      <c r="D48" s="21" t="inlineStr">
        <is>
          <t>นายสุเทพ แก้วประดับ</t>
        </is>
      </c>
      <c r="E48" s="22" t="inlineStr">
        <is>
          <t>ชาย</t>
        </is>
      </c>
      <c r="F48" s="22" t="inlineStr">
        <is>
          <t>28/03/2526</t>
        </is>
      </c>
      <c r="G48" s="35" t="n">
        <v>43</v>
      </c>
      <c r="H48" s="21">
        <f>IF(J48="เสียชีวิต", "ไม่ระบุอายุปัจจุบัน", IF(ISBLANK(G48), "ไม่ระบุอายุปัจจุบัน", IF(G48&lt;=5, "เด็กเล็ก (0–5 ปี)", IF(G48&lt;=12, "เด็กวัยเรียน (6–12 ปี)", IF(G48&lt;=17, "วัยรุ่น (13–17 ปี)", IF(G48&lt;=24, "วัยหนุ่มสาว (18–24 ปี)", IF(G48&lt;=39, "วัยทำงานตอนต้น (25–39 ปี)", IF(G48&lt;=59, "วัยทำงานตอนกลาง (40–59 ปี)", "ผู้สูงอายุ (60 ปีขึ้นไป)"))))))))</f>
        <v/>
      </c>
      <c r="I48" s="22" t="inlineStr">
        <is>
          <t>ผู้อาศัย</t>
        </is>
      </c>
      <c r="J48" s="22" t="inlineStr">
        <is>
          <t>มีชีวิต</t>
        </is>
      </c>
      <c r="K48" s="21" t="inlineStr">
        <is>
          <t>วัน/เดือน/ปีครบ</t>
        </is>
      </c>
    </row>
    <row r="49" ht="20" customHeight="1">
      <c r="A49" s="18" t="n">
        <v>55</v>
      </c>
      <c r="B49" s="18" t="n">
        <v>2</v>
      </c>
      <c r="C49" s="17" t="inlineStr">
        <is>
          <t>2-2603-00023-48-5</t>
        </is>
      </c>
      <c r="D49" s="17" t="inlineStr">
        <is>
          <t>น.ส. น้ำฝน แก้วประดับ</t>
        </is>
      </c>
      <c r="E49" s="18" t="inlineStr">
        <is>
          <t>หญิง</t>
        </is>
      </c>
      <c r="F49" s="18" t="inlineStr">
        <is>
          <t>17/12/2533</t>
        </is>
      </c>
      <c r="G49" s="34" t="n">
        <v>35</v>
      </c>
      <c r="H49" s="17">
        <f>IF(J49="เสียชีวิต", "ไม่ระบุอายุปัจจุบัน", IF(ISBLANK(G49), "ไม่ระบุอายุปัจจุบัน", IF(G49&lt;=5, "เด็กเล็ก (0–5 ปี)", IF(G49&lt;=12, "เด็กวัยเรียน (6–12 ปี)", IF(G49&lt;=17, "วัยรุ่น (13–17 ปี)", IF(G49&lt;=24, "วัยหนุ่มสาว (18–24 ปี)", IF(G49&lt;=39, "วัยทำงานตอนต้น (25–39 ปี)", IF(G49&lt;=59, "วัยทำงานตอนกลาง (40–59 ปี)", "ผู้สูงอายุ (60 ปีขึ้นไป)"))))))))</f>
        <v/>
      </c>
      <c r="I49" s="18" t="inlineStr">
        <is>
          <t>ผู้อาศัย</t>
        </is>
      </c>
      <c r="J49" s="18" t="inlineStr">
        <is>
          <t>มีชีวิต</t>
        </is>
      </c>
      <c r="K49" s="17" t="inlineStr">
        <is>
          <t>วัน/เดือน/ปีครบ</t>
        </is>
      </c>
    </row>
    <row r="50" ht="20" customHeight="1">
      <c r="A50" s="22" t="n">
        <v>56</v>
      </c>
      <c r="B50" s="22" t="n">
        <v>1</v>
      </c>
      <c r="C50" s="21" t="inlineStr">
        <is>
          <t>3-2603-00233-96-8</t>
        </is>
      </c>
      <c r="D50" s="21" t="inlineStr">
        <is>
          <t>นายพยุงศักดิ์ เนื่องวงษ์</t>
        </is>
      </c>
      <c r="E50" s="22" t="inlineStr">
        <is>
          <t>ชาย</t>
        </is>
      </c>
      <c r="F50" s="22" t="inlineStr">
        <is>
          <t>23/05/2512</t>
        </is>
      </c>
      <c r="G50" s="35" t="n">
        <v>57</v>
      </c>
      <c r="H50" s="21">
        <f>IF(J50="เสียชีวิต", "ไม่ระบุอายุปัจจุบัน", IF(ISBLANK(G50), "ไม่ระบุอายุปัจจุบัน", IF(G50&lt;=5, "เด็กเล็ก (0–5 ปี)", IF(G50&lt;=12, "เด็กวัยเรียน (6–12 ปี)", IF(G50&lt;=17, "วัยรุ่น (13–17 ปี)", IF(G50&lt;=24, "วัยหนุ่มสาว (18–24 ปี)", IF(G50&lt;=39, "วัยทำงานตอนต้น (25–39 ปี)", IF(G50&lt;=59, "วัยทำงานตอนกลาง (40–59 ปี)", "ผู้สูงอายุ (60 ปีขึ้นไป)"))))))))</f>
        <v/>
      </c>
      <c r="I50" s="22" t="inlineStr">
        <is>
          <t>เจ้าบ้าน</t>
        </is>
      </c>
      <c r="J50" s="22" t="inlineStr">
        <is>
          <t>มีชีวิต</t>
        </is>
      </c>
      <c r="K50" s="21" t="inlineStr">
        <is>
          <t>วัน/เดือน/ปีครบ</t>
        </is>
      </c>
    </row>
    <row r="51" ht="20" customHeight="1">
      <c r="A51" s="18" t="n">
        <v>56</v>
      </c>
      <c r="B51" s="18" t="n">
        <v>2</v>
      </c>
      <c r="C51" s="17" t="inlineStr">
        <is>
          <t>3-2603-00178-27-4</t>
        </is>
      </c>
      <c r="D51" s="17" t="inlineStr">
        <is>
          <t>นางทิพยา สมมูล</t>
        </is>
      </c>
      <c r="E51" s="18" t="inlineStr">
        <is>
          <t>หญิง</t>
        </is>
      </c>
      <c r="F51" s="18" t="inlineStr">
        <is>
          <t>01/10/2511</t>
        </is>
      </c>
      <c r="G51" s="18" t="inlineStr">
        <is>
          <t>—</t>
        </is>
      </c>
      <c r="H51" s="17">
        <f>IF(J51="เสียชีวิต", "ไม่ระบุอายุปัจจุบัน", IF(ISBLANK(G51), "ไม่ระบุอายุปัจจุบัน", IF(G51&lt;=5, "เด็กเล็ก (0–5 ปี)", IF(G51&lt;=12, "เด็กวัยเรียน (6–12 ปี)", IF(G51&lt;=17, "วัยรุ่น (13–17 ปี)", IF(G51&lt;=24, "วัยหนุ่มสาว (18–24 ปี)", IF(G51&lt;=39, "วัยทำงานตอนต้น (25–39 ปี)", IF(G51&lt;=59, "วัยทำงานตอนกลาง (40–59 ปี)", "ผู้สูงอายุ (60 ปีขึ้นไป)"))))))))</f>
        <v/>
      </c>
      <c r="I51" s="18" t="inlineStr">
        <is>
          <t>ผู้อาศัย</t>
        </is>
      </c>
      <c r="J51" s="18" t="inlineStr">
        <is>
          <t>เสียชีวิต</t>
        </is>
      </c>
      <c r="K51" s="17" t="inlineStr">
        <is>
          <t>วัน/เดือน/ปีครบ</t>
        </is>
      </c>
    </row>
    <row r="52" ht="20" customHeight="1">
      <c r="A52" s="22" t="n">
        <v>56</v>
      </c>
      <c r="B52" s="22" t="n">
        <v>3</v>
      </c>
      <c r="C52" s="21" t="inlineStr">
        <is>
          <t>1-2603-00132-10-3</t>
        </is>
      </c>
      <c r="D52" s="21" t="inlineStr">
        <is>
          <t>น.ส. วรรณา เพ็ชรแก้ว</t>
        </is>
      </c>
      <c r="E52" s="22" t="inlineStr">
        <is>
          <t>หญิง</t>
        </is>
      </c>
      <c r="F52" s="22" t="inlineStr">
        <is>
          <t>01/02/2545</t>
        </is>
      </c>
      <c r="G52" s="35" t="n">
        <v>24</v>
      </c>
      <c r="H52" s="21">
        <f>IF(J52="เสียชีวิต", "ไม่ระบุอายุปัจจุบัน", IF(ISBLANK(G52), "ไม่ระบุอายุปัจจุบัน", IF(G52&lt;=5, "เด็กเล็ก (0–5 ปี)", IF(G52&lt;=12, "เด็กวัยเรียน (6–12 ปี)", IF(G52&lt;=17, "วัยรุ่น (13–17 ปี)", IF(G52&lt;=24, "วัยหนุ่มสาว (18–24 ปี)", IF(G52&lt;=39, "วัยทำงานตอนต้น (25–39 ปี)", IF(G52&lt;=59, "วัยทำงานตอนกลาง (40–59 ปี)", "ผู้สูงอายุ (60 ปีขึ้นไป)"))))))))</f>
        <v/>
      </c>
      <c r="I52" s="22" t="inlineStr">
        <is>
          <t>ผู้อาศัย</t>
        </is>
      </c>
      <c r="J52" s="22" t="inlineStr">
        <is>
          <t>มีชีวิต</t>
        </is>
      </c>
      <c r="K52" s="21" t="inlineStr">
        <is>
          <t>วัน/เดือน/ปีครบ</t>
        </is>
      </c>
    </row>
    <row r="53" ht="20" customHeight="1">
      <c r="A53" s="18" t="n">
        <v>57</v>
      </c>
      <c r="B53" s="18" t="n">
        <v>1</v>
      </c>
      <c r="C53" s="17" t="inlineStr">
        <is>
          <t>3-2603-00417-29-5</t>
        </is>
      </c>
      <c r="D53" s="17" t="inlineStr">
        <is>
          <t>นายเขียน นาคะจะ</t>
        </is>
      </c>
      <c r="E53" s="18" t="inlineStr">
        <is>
          <t>ชาย</t>
        </is>
      </c>
      <c r="F53" s="18" t="inlineStr">
        <is>
          <t>21/10/2503</t>
        </is>
      </c>
      <c r="G53" s="34" t="n">
        <v>65</v>
      </c>
      <c r="H53" s="17">
        <f>IF(J53="เสียชีวิต", "ไม่ระบุอายุปัจจุบัน", IF(ISBLANK(G53), "ไม่ระบุอายุปัจจุบัน", IF(G53&lt;=5, "เด็กเล็ก (0–5 ปี)", IF(G53&lt;=12, "เด็กวัยเรียน (6–12 ปี)", IF(G53&lt;=17, "วัยรุ่น (13–17 ปี)", IF(G53&lt;=24, "วัยหนุ่มสาว (18–24 ปี)", IF(G53&lt;=39, "วัยทำงานตอนต้น (25–39 ปี)", IF(G53&lt;=59, "วัยทำงานตอนกลาง (40–59 ปี)", "ผู้สูงอายุ (60 ปีขึ้นไป)"))))))))</f>
        <v/>
      </c>
      <c r="I53" s="18" t="inlineStr">
        <is>
          <t>เจ้าบ้าน</t>
        </is>
      </c>
      <c r="J53" s="18" t="inlineStr">
        <is>
          <t>มีชีวิต</t>
        </is>
      </c>
      <c r="K53" s="17" t="inlineStr">
        <is>
          <t>วัน/เดือน/ปีครบ</t>
        </is>
      </c>
    </row>
    <row r="54" ht="20" customHeight="1">
      <c r="A54" s="22" t="n">
        <v>57</v>
      </c>
      <c r="B54" s="22" t="n">
        <v>2</v>
      </c>
      <c r="C54" s="21" t="inlineStr">
        <is>
          <t>3-2603-00233-67-4</t>
        </is>
      </c>
      <c r="D54" s="21" t="inlineStr">
        <is>
          <t>นางสมบัติ นาคะจะ</t>
        </is>
      </c>
      <c r="E54" s="22" t="inlineStr">
        <is>
          <t>หญิง</t>
        </is>
      </c>
      <c r="F54" s="22" t="inlineStr">
        <is>
          <t>30/08/2503</t>
        </is>
      </c>
      <c r="G54" s="35" t="n">
        <v>66</v>
      </c>
      <c r="H54" s="21">
        <f>IF(J54="เสียชีวิต", "ไม่ระบุอายุปัจจุบัน", IF(ISBLANK(G54), "ไม่ระบุอายุปัจจุบัน", IF(G54&lt;=5, "เด็กเล็ก (0–5 ปี)", IF(G54&lt;=12, "เด็กวัยเรียน (6–12 ปี)", IF(G54&lt;=17, "วัยรุ่น (13–17 ปี)", IF(G54&lt;=24, "วัยหนุ่มสาว (18–24 ปี)", IF(G54&lt;=39, "วัยทำงานตอนต้น (25–39 ปี)", IF(G54&lt;=59, "วัยทำงานตอนกลาง (40–59 ปี)", "ผู้สูงอายุ (60 ปีขึ้นไป)"))))))))</f>
        <v/>
      </c>
      <c r="I54" s="22" t="inlineStr">
        <is>
          <t>ผู้อาศัย</t>
        </is>
      </c>
      <c r="J54" s="22" t="inlineStr">
        <is>
          <t>มีชีวิต</t>
        </is>
      </c>
      <c r="K54" s="21" t="inlineStr">
        <is>
          <t>วัน/เดือน/ปีครบ</t>
        </is>
      </c>
    </row>
    <row r="55" ht="20" customHeight="1">
      <c r="A55" s="18" t="n">
        <v>57</v>
      </c>
      <c r="B55" s="18" t="n">
        <v>3</v>
      </c>
      <c r="C55" s="17" t="inlineStr">
        <is>
          <t>3-2603-00417-33-3</t>
        </is>
      </c>
      <c r="D55" s="17" t="inlineStr">
        <is>
          <t>นายสุรัตน์ นาคะจะ</t>
        </is>
      </c>
      <c r="E55" s="18" t="inlineStr">
        <is>
          <t>ชาย</t>
        </is>
      </c>
      <c r="F55" s="18" t="inlineStr">
        <is>
          <t>24/05/2525</t>
        </is>
      </c>
      <c r="G55" s="34" t="n">
        <v>44</v>
      </c>
      <c r="H55" s="17">
        <f>IF(J55="เสียชีวิต", "ไม่ระบุอายุปัจจุบัน", IF(ISBLANK(G55), "ไม่ระบุอายุปัจจุบัน", IF(G55&lt;=5, "เด็กเล็ก (0–5 ปี)", IF(G55&lt;=12, "เด็กวัยเรียน (6–12 ปี)", IF(G55&lt;=17, "วัยรุ่น (13–17 ปี)", IF(G55&lt;=24, "วัยหนุ่มสาว (18–24 ปี)", IF(G55&lt;=39, "วัยทำงานตอนต้น (25–39 ปี)", IF(G55&lt;=59, "วัยทำงานตอนกลาง (40–59 ปี)", "ผู้สูงอายุ (60 ปีขึ้นไป)"))))))))</f>
        <v/>
      </c>
      <c r="I55" s="18" t="inlineStr">
        <is>
          <t>ผู้อาศัย</t>
        </is>
      </c>
      <c r="J55" s="18" t="inlineStr">
        <is>
          <t>มีชีวิต</t>
        </is>
      </c>
      <c r="K55" s="17" t="inlineStr">
        <is>
          <t>วัน/เดือน/ปีครบ</t>
        </is>
      </c>
    </row>
    <row r="56" ht="20" customHeight="1">
      <c r="A56" s="22" t="n">
        <v>57</v>
      </c>
      <c r="B56" s="22" t="n">
        <v>4</v>
      </c>
      <c r="C56" s="21" t="inlineStr">
        <is>
          <t>1-2699-00315-40-1</t>
        </is>
      </c>
      <c r="D56" s="21" t="inlineStr">
        <is>
          <t>นายณรงค์ฤทธิ์ นาคะจะ</t>
        </is>
      </c>
      <c r="E56" s="22" t="inlineStr">
        <is>
          <t>ชาย</t>
        </is>
      </c>
      <c r="F56" s="22" t="inlineStr">
        <is>
          <t>23/08/2543</t>
        </is>
      </c>
      <c r="G56" s="35" t="n">
        <v>26</v>
      </c>
      <c r="H56" s="21">
        <f>IF(J56="เสียชีวิต", "ไม่ระบุอายุปัจจุบัน", IF(ISBLANK(G56), "ไม่ระบุอายุปัจจุบัน", IF(G56&lt;=5, "เด็กเล็ก (0–5 ปี)", IF(G56&lt;=12, "เด็กวัยเรียน (6–12 ปี)", IF(G56&lt;=17, "วัยรุ่น (13–17 ปี)", IF(G56&lt;=24, "วัยหนุ่มสาว (18–24 ปี)", IF(G56&lt;=39, "วัยทำงานตอนต้น (25–39 ปี)", IF(G56&lt;=59, "วัยทำงานตอนกลาง (40–59 ปี)", "ผู้สูงอายุ (60 ปีขึ้นไป)"))))))))</f>
        <v/>
      </c>
      <c r="I56" s="22" t="inlineStr">
        <is>
          <t>ผู้อาศัย</t>
        </is>
      </c>
      <c r="J56" s="22" t="inlineStr">
        <is>
          <t>มีชีวิต</t>
        </is>
      </c>
      <c r="K56" s="21" t="inlineStr">
        <is>
          <t>วัน/เดือน/ปีครบ</t>
        </is>
      </c>
    </row>
    <row r="57" ht="20" customHeight="1">
      <c r="A57" s="18" t="n">
        <v>57</v>
      </c>
      <c r="B57" s="18" t="n">
        <v>5</v>
      </c>
      <c r="C57" s="17" t="inlineStr">
        <is>
          <t>1-1007-03754-54-5</t>
        </is>
      </c>
      <c r="D57" s="17" t="inlineStr">
        <is>
          <t>น.ส. เกศรินทร์ นาคะจะ</t>
        </is>
      </c>
      <c r="E57" s="18" t="inlineStr">
        <is>
          <t>หญิง</t>
        </is>
      </c>
      <c r="F57" s="18" t="inlineStr">
        <is>
          <t>01/08/2548</t>
        </is>
      </c>
      <c r="G57" s="34" t="n">
        <v>21</v>
      </c>
      <c r="H57" s="17">
        <f>IF(J57="เสียชีวิต", "ไม่ระบุอายุปัจจุบัน", IF(ISBLANK(G57), "ไม่ระบุอายุปัจจุบัน", IF(G57&lt;=5, "เด็กเล็ก (0–5 ปี)", IF(G57&lt;=12, "เด็กวัยเรียน (6–12 ปี)", IF(G57&lt;=17, "วัยรุ่น (13–17 ปี)", IF(G57&lt;=24, "วัยหนุ่มสาว (18–24 ปี)", IF(G57&lt;=39, "วัยทำงานตอนต้น (25–39 ปี)", IF(G57&lt;=59, "วัยทำงานตอนกลาง (40–59 ปี)", "ผู้สูงอายุ (60 ปีขึ้นไป)"))))))))</f>
        <v/>
      </c>
      <c r="I57" s="18" t="inlineStr">
        <is>
          <t>ผู้อาศัย</t>
        </is>
      </c>
      <c r="J57" s="18" t="inlineStr">
        <is>
          <t>มีชีวิต</t>
        </is>
      </c>
      <c r="K57" s="17" t="inlineStr">
        <is>
          <t>วัน/เดือน/ปีครบ</t>
        </is>
      </c>
    </row>
    <row r="58" ht="20" customHeight="1">
      <c r="A58" s="22" t="n">
        <v>57</v>
      </c>
      <c r="B58" s="22" t="n">
        <v>6</v>
      </c>
      <c r="C58" s="21" t="inlineStr">
        <is>
          <t>1-1043-01218-06-5</t>
        </is>
      </c>
      <c r="D58" s="21" t="inlineStr">
        <is>
          <t>น.ส. ณัฎฐ์ประวีณา นาคะจะ</t>
        </is>
      </c>
      <c r="E58" s="22" t="inlineStr">
        <is>
          <t>หญิง</t>
        </is>
      </c>
      <c r="F58" s="22" t="inlineStr">
        <is>
          <t>20/08/2552</t>
        </is>
      </c>
      <c r="G58" s="35" t="n">
        <v>17</v>
      </c>
      <c r="H58" s="21">
        <f>IF(J58="เสียชีวิต", "ไม่ระบุอายุปัจจุบัน", IF(ISBLANK(G58), "ไม่ระบุอายุปัจจุบัน", IF(G58&lt;=5, "เด็กเล็ก (0–5 ปี)", IF(G58&lt;=12, "เด็กวัยเรียน (6–12 ปี)", IF(G58&lt;=17, "วัยรุ่น (13–17 ปี)", IF(G58&lt;=24, "วัยหนุ่มสาว (18–24 ปี)", IF(G58&lt;=39, "วัยทำงานตอนต้น (25–39 ปี)", IF(G58&lt;=59, "วัยทำงานตอนกลาง (40–59 ปี)", "ผู้สูงอายุ (60 ปีขึ้นไป)"))))))))</f>
        <v/>
      </c>
      <c r="I58" s="22" t="inlineStr">
        <is>
          <t>ผู้อาศัย</t>
        </is>
      </c>
      <c r="J58" s="22" t="inlineStr">
        <is>
          <t>มีชีวิต</t>
        </is>
      </c>
      <c r="K58" s="21" t="inlineStr">
        <is>
          <t>วัน/เดือน/ปีครบ</t>
        </is>
      </c>
    </row>
    <row r="59" ht="20" customHeight="1">
      <c r="A59" s="18" t="n">
        <v>62</v>
      </c>
      <c r="B59" s="18" t="n">
        <v>1</v>
      </c>
      <c r="C59" s="17" t="inlineStr">
        <is>
          <t>3-1020-00751-33-8</t>
        </is>
      </c>
      <c r="D59" s="17" t="inlineStr">
        <is>
          <t>นางรัตนา เวหะ</t>
        </is>
      </c>
      <c r="E59" s="18" t="inlineStr">
        <is>
          <t>หญิง</t>
        </is>
      </c>
      <c r="F59" s="18" t="inlineStr">
        <is>
          <t>01/05/2498</t>
        </is>
      </c>
      <c r="G59" s="34" t="n">
        <v>71</v>
      </c>
      <c r="H59" s="17">
        <f>IF(J59="เสียชีวิต", "ไม่ระบุอายุปัจจุบัน", IF(ISBLANK(G59), "ไม่ระบุอายุปัจจุบัน", IF(G59&lt;=5, "เด็กเล็ก (0–5 ปี)", IF(G59&lt;=12, "เด็กวัยเรียน (6–12 ปี)", IF(G59&lt;=17, "วัยรุ่น (13–17 ปี)", IF(G59&lt;=24, "วัยหนุ่มสาว (18–24 ปี)", IF(G59&lt;=39, "วัยทำงานตอนต้น (25–39 ปี)", IF(G59&lt;=59, "วัยทำงานตอนกลาง (40–59 ปี)", "ผู้สูงอายุ (60 ปีขึ้นไป)"))))))))</f>
        <v/>
      </c>
      <c r="I59" s="18" t="inlineStr">
        <is>
          <t>เจ้าบ้าน</t>
        </is>
      </c>
      <c r="J59" s="18" t="inlineStr">
        <is>
          <t>มีชีวิต</t>
        </is>
      </c>
      <c r="K59" s="17" t="inlineStr">
        <is>
          <t>วัน/เดือน/ปีครบ</t>
        </is>
      </c>
    </row>
    <row r="60" ht="20" customHeight="1">
      <c r="A60" s="22" t="n">
        <v>62</v>
      </c>
      <c r="B60" s="22" t="n">
        <v>2</v>
      </c>
      <c r="C60" s="21" t="inlineStr">
        <is>
          <t>3-1020-00660-64-2</t>
        </is>
      </c>
      <c r="D60" s="21" t="inlineStr">
        <is>
          <t>นางเอื้ออารี เสมหะ</t>
        </is>
      </c>
      <c r="E60" s="22" t="inlineStr">
        <is>
          <t>หญิง</t>
        </is>
      </c>
      <c r="F60" s="22" t="inlineStr">
        <is>
          <t>27/08/2520</t>
        </is>
      </c>
      <c r="G60" s="35" t="n">
        <v>49</v>
      </c>
      <c r="H60" s="21">
        <f>IF(J60="เสียชีวิต", "ไม่ระบุอายุปัจจุบัน", IF(ISBLANK(G60), "ไม่ระบุอายุปัจจุบัน", IF(G60&lt;=5, "เด็กเล็ก (0–5 ปี)", IF(G60&lt;=12, "เด็กวัยเรียน (6–12 ปี)", IF(G60&lt;=17, "วัยรุ่น (13–17 ปี)", IF(G60&lt;=24, "วัยหนุ่มสาว (18–24 ปี)", IF(G60&lt;=39, "วัยทำงานตอนต้น (25–39 ปี)", IF(G60&lt;=59, "วัยทำงานตอนกลาง (40–59 ปี)", "ผู้สูงอายุ (60 ปีขึ้นไป)"))))))))</f>
        <v/>
      </c>
      <c r="I60" s="22" t="inlineStr">
        <is>
          <t>ผู้อาศัย</t>
        </is>
      </c>
      <c r="J60" s="22" t="inlineStr">
        <is>
          <t>มีชีวิต</t>
        </is>
      </c>
      <c r="K60" s="21" t="inlineStr">
        <is>
          <t>วัน/เดือน/ปีครบ</t>
        </is>
      </c>
    </row>
    <row r="61" ht="20" customHeight="1">
      <c r="A61" s="18" t="n">
        <v>62</v>
      </c>
      <c r="B61" s="18" t="n">
        <v>3</v>
      </c>
      <c r="C61" s="17" t="inlineStr">
        <is>
          <t>1-2699-00623-53-0</t>
        </is>
      </c>
      <c r="D61" s="17" t="inlineStr">
        <is>
          <t>ด.ช. วิริยะ เวหะ</t>
        </is>
      </c>
      <c r="E61" s="18" t="inlineStr">
        <is>
          <t>ชาย</t>
        </is>
      </c>
      <c r="F61" s="18" t="inlineStr">
        <is>
          <t>05/04/2562</t>
        </is>
      </c>
      <c r="G61" s="34" t="n">
        <v>7</v>
      </c>
      <c r="H61" s="17">
        <f>IF(J61="เสียชีวิต", "ไม่ระบุอายุปัจจุบัน", IF(ISBLANK(G61), "ไม่ระบุอายุปัจจุบัน", IF(G61&lt;=5, "เด็กเล็ก (0–5 ปี)", IF(G61&lt;=12, "เด็กวัยเรียน (6–12 ปี)", IF(G61&lt;=17, "วัยรุ่น (13–17 ปี)", IF(G61&lt;=24, "วัยหนุ่มสาว (18–24 ปี)", IF(G61&lt;=39, "วัยทำงานตอนต้น (25–39 ปี)", IF(G61&lt;=59, "วัยทำงานตอนกลาง (40–59 ปี)", "ผู้สูงอายุ (60 ปีขึ้นไป)"))))))))</f>
        <v/>
      </c>
      <c r="I61" s="18" t="inlineStr">
        <is>
          <t>ผู้อาศัย</t>
        </is>
      </c>
      <c r="J61" s="18" t="inlineStr">
        <is>
          <t>มีชีวิต</t>
        </is>
      </c>
      <c r="K61" s="17" t="inlineStr">
        <is>
          <t>วัน/เดือน/ปีครบ</t>
        </is>
      </c>
    </row>
    <row r="62" ht="20" customHeight="1">
      <c r="A62" s="22" t="n">
        <v>62</v>
      </c>
      <c r="B62" s="22" t="n">
        <v>4</v>
      </c>
      <c r="C62" s="21" t="inlineStr">
        <is>
          <t>1-1020-01677-99-2</t>
        </is>
      </c>
      <c r="D62" s="21" t="inlineStr">
        <is>
          <t>น.ส. ภัชฐ์สกุน วงษ์เจริญ</t>
        </is>
      </c>
      <c r="E62" s="22" t="inlineStr">
        <is>
          <t>หญิง</t>
        </is>
      </c>
      <c r="F62" s="22" t="inlineStr">
        <is>
          <t>07/02/2535</t>
        </is>
      </c>
      <c r="G62" s="35" t="n">
        <v>34</v>
      </c>
      <c r="H62" s="21">
        <f>IF(J62="เสียชีวิต", "ไม่ระบุอายุปัจจุบัน", IF(ISBLANK(G62), "ไม่ระบุอายุปัจจุบัน", IF(G62&lt;=5, "เด็กเล็ก (0–5 ปี)", IF(G62&lt;=12, "เด็กวัยเรียน (6–12 ปี)", IF(G62&lt;=17, "วัยรุ่น (13–17 ปี)", IF(G62&lt;=24, "วัยหนุ่มสาว (18–24 ปี)", IF(G62&lt;=39, "วัยทำงานตอนต้น (25–39 ปี)", IF(G62&lt;=59, "วัยทำงานตอนกลาง (40–59 ปี)", "ผู้สูงอายุ (60 ปีขึ้นไป)"))))))))</f>
        <v/>
      </c>
      <c r="I62" s="22" t="inlineStr">
        <is>
          <t>ผู้อาศัย</t>
        </is>
      </c>
      <c r="J62" s="22" t="inlineStr">
        <is>
          <t>มีชีวิต</t>
        </is>
      </c>
      <c r="K62" s="21" t="inlineStr">
        <is>
          <t>วัน/เดือน/ปีครบ</t>
        </is>
      </c>
    </row>
    <row r="63" ht="20" customHeight="1">
      <c r="A63" s="18" t="n">
        <v>62</v>
      </c>
      <c r="B63" s="18" t="n">
        <v>5</v>
      </c>
      <c r="C63" s="17" t="inlineStr">
        <is>
          <t>3-1016-00519-51-6</t>
        </is>
      </c>
      <c r="D63" s="17" t="inlineStr">
        <is>
          <t>นายอลงกรณ์ วงษ์เจริญ</t>
        </is>
      </c>
      <c r="E63" s="18" t="inlineStr">
        <is>
          <t>ชาย</t>
        </is>
      </c>
      <c r="F63" s="18" t="inlineStr">
        <is>
          <t>04/11/2506</t>
        </is>
      </c>
      <c r="G63" s="34" t="n">
        <v>62</v>
      </c>
      <c r="H63" s="17">
        <f>IF(J63="เสียชีวิต", "ไม่ระบุอายุปัจจุบัน", IF(ISBLANK(G63), "ไม่ระบุอายุปัจจุบัน", IF(G63&lt;=5, "เด็กเล็ก (0–5 ปี)", IF(G63&lt;=12, "เด็กวัยเรียน (6–12 ปี)", IF(G63&lt;=17, "วัยรุ่น (13–17 ปี)", IF(G63&lt;=24, "วัยหนุ่มสาว (18–24 ปี)", IF(G63&lt;=39, "วัยทำงานตอนต้น (25–39 ปี)", IF(G63&lt;=59, "วัยทำงานตอนกลาง (40–59 ปี)", "ผู้สูงอายุ (60 ปีขึ้นไป)"))))))))</f>
        <v/>
      </c>
      <c r="I63" s="18" t="inlineStr">
        <is>
          <t>ผู้อาศัย</t>
        </is>
      </c>
      <c r="J63" s="18" t="inlineStr">
        <is>
          <t>มีชีวิต</t>
        </is>
      </c>
      <c r="K63" s="17" t="inlineStr">
        <is>
          <t>วัน/เดือน/ปีครบ</t>
        </is>
      </c>
    </row>
    <row r="64" ht="20" customHeight="1">
      <c r="A64" s="22" t="n">
        <v>62</v>
      </c>
      <c r="B64" s="22" t="n">
        <v>6</v>
      </c>
      <c r="C64" s="21" t="inlineStr">
        <is>
          <t>1-2699-00469-13-1</t>
        </is>
      </c>
      <c r="D64" s="21" t="inlineStr">
        <is>
          <t>น.ส. บุณฑริกา วงษ์เจริญ</t>
        </is>
      </c>
      <c r="E64" s="22" t="inlineStr">
        <is>
          <t>หญิง</t>
        </is>
      </c>
      <c r="F64" s="22" t="inlineStr">
        <is>
          <t>12/06/2552</t>
        </is>
      </c>
      <c r="G64" s="35" t="n">
        <v>17</v>
      </c>
      <c r="H64" s="21">
        <f>IF(J64="เสียชีวิต", "ไม่ระบุอายุปัจจุบัน", IF(ISBLANK(G64), "ไม่ระบุอายุปัจจุบัน", IF(G64&lt;=5, "เด็กเล็ก (0–5 ปี)", IF(G64&lt;=12, "เด็กวัยเรียน (6–12 ปี)", IF(G64&lt;=17, "วัยรุ่น (13–17 ปี)", IF(G64&lt;=24, "วัยหนุ่มสาว (18–24 ปี)", IF(G64&lt;=39, "วัยทำงานตอนต้น (25–39 ปี)", IF(G64&lt;=59, "วัยทำงานตอนกลาง (40–59 ปี)", "ผู้สูงอายุ (60 ปีขึ้นไป)"))))))))</f>
        <v/>
      </c>
      <c r="I64" s="22" t="inlineStr">
        <is>
          <t>ผู้อาศัย</t>
        </is>
      </c>
      <c r="J64" s="22" t="inlineStr">
        <is>
          <t>มีชีวิต</t>
        </is>
      </c>
      <c r="K64" s="21" t="inlineStr">
        <is>
          <t>วัน/เดือน/ปีครบ</t>
        </is>
      </c>
    </row>
    <row r="65" ht="20" customHeight="1">
      <c r="A65" s="18" t="n">
        <v>62</v>
      </c>
      <c r="B65" s="18" t="n">
        <v>7</v>
      </c>
      <c r="C65" s="17" t="inlineStr">
        <is>
          <t>1-2699-00675-79-3</t>
        </is>
      </c>
      <c r="D65" s="17" t="inlineStr">
        <is>
          <t>ด.ญ. ภัสสรา กิจเพิ่มพูล</t>
        </is>
      </c>
      <c r="E65" s="18" t="inlineStr">
        <is>
          <t>หญิง</t>
        </is>
      </c>
      <c r="F65" s="18" t="inlineStr">
        <is>
          <t>07/03/2566</t>
        </is>
      </c>
      <c r="G65" s="34" t="n">
        <v>3</v>
      </c>
      <c r="H65" s="17">
        <f>IF(J65="เสียชีวิต", "ไม่ระบุอายุปัจจุบัน", IF(ISBLANK(G65), "ไม่ระบุอายุปัจจุบัน", IF(G65&lt;=5, "เด็กเล็ก (0–5 ปี)", IF(G65&lt;=12, "เด็กวัยเรียน (6–12 ปี)", IF(G65&lt;=17, "วัยรุ่น (13–17 ปี)", IF(G65&lt;=24, "วัยหนุ่มสาว (18–24 ปี)", IF(G65&lt;=39, "วัยทำงานตอนต้น (25–39 ปี)", IF(G65&lt;=59, "วัยทำงานตอนกลาง (40–59 ปี)", "ผู้สูงอายุ (60 ปีขึ้นไป)"))))))))</f>
        <v/>
      </c>
      <c r="I65" s="18" t="inlineStr">
        <is>
          <t>ผู้อาศัย</t>
        </is>
      </c>
      <c r="J65" s="18" t="inlineStr">
        <is>
          <t>มีชีวิต</t>
        </is>
      </c>
      <c r="K65" s="17" t="inlineStr">
        <is>
          <t>วัน/เดือน/ปีครบ</t>
        </is>
      </c>
    </row>
    <row r="66" ht="20" customHeight="1">
      <c r="A66" s="22" t="n">
        <v>68</v>
      </c>
      <c r="B66" s="22" t="n">
        <v>1</v>
      </c>
      <c r="C66" s="21" t="inlineStr">
        <is>
          <t>3-1002-02371-34-1</t>
        </is>
      </c>
      <c r="D66" s="21" t="inlineStr">
        <is>
          <t>นายกนก สินประเสริฐ</t>
        </is>
      </c>
      <c r="E66" s="22" t="inlineStr">
        <is>
          <t>ชาย</t>
        </is>
      </c>
      <c r="F66" s="22" t="inlineStr">
        <is>
          <t>01/05/2498</t>
        </is>
      </c>
      <c r="G66" s="35" t="n">
        <v>71</v>
      </c>
      <c r="H66" s="21">
        <f>IF(J66="เสียชีวิต", "ไม่ระบุอายุปัจจุบัน", IF(ISBLANK(G66), "ไม่ระบุอายุปัจจุบัน", IF(G66&lt;=5, "เด็กเล็ก (0–5 ปี)", IF(G66&lt;=12, "เด็กวัยเรียน (6–12 ปี)", IF(G66&lt;=17, "วัยรุ่น (13–17 ปี)", IF(G66&lt;=24, "วัยหนุ่มสาว (18–24 ปี)", IF(G66&lt;=39, "วัยทำงานตอนต้น (25–39 ปี)", IF(G66&lt;=59, "วัยทำงานตอนกลาง (40–59 ปี)", "ผู้สูงอายุ (60 ปีขึ้นไป)"))))))))</f>
        <v/>
      </c>
      <c r="I66" s="22" t="inlineStr">
        <is>
          <t>เจ้าบ้าน</t>
        </is>
      </c>
      <c r="J66" s="22" t="inlineStr">
        <is>
          <t>มีชีวิต</t>
        </is>
      </c>
      <c r="K66" s="21" t="inlineStr">
        <is>
          <t>วัน/เดือน/ปีครบ</t>
        </is>
      </c>
    </row>
    <row r="67" ht="20" customHeight="1">
      <c r="A67" s="18" t="n">
        <v>68</v>
      </c>
      <c r="B67" s="18" t="n">
        <v>2</v>
      </c>
      <c r="C67" s="17" t="inlineStr">
        <is>
          <t>3-1002-01397-67-0</t>
        </is>
      </c>
      <c r="D67" s="17" t="inlineStr">
        <is>
          <t>นายเด็ดเดี่ยว สินประเสริฐ</t>
        </is>
      </c>
      <c r="E67" s="18" t="inlineStr">
        <is>
          <t>ชาย</t>
        </is>
      </c>
      <c r="F67" s="18" t="inlineStr">
        <is>
          <t>13/03/2521</t>
        </is>
      </c>
      <c r="G67" s="34" t="n">
        <v>48</v>
      </c>
      <c r="H67" s="17">
        <f>IF(J67="เสียชีวิต", "ไม่ระบุอายุปัจจุบัน", IF(ISBLANK(G67), "ไม่ระบุอายุปัจจุบัน", IF(G67&lt;=5, "เด็กเล็ก (0–5 ปี)", IF(G67&lt;=12, "เด็กวัยเรียน (6–12 ปี)", IF(G67&lt;=17, "วัยรุ่น (13–17 ปี)", IF(G67&lt;=24, "วัยหนุ่มสาว (18–24 ปี)", IF(G67&lt;=39, "วัยทำงานตอนต้น (25–39 ปี)", IF(G67&lt;=59, "วัยทำงานตอนกลาง (40–59 ปี)", "ผู้สูงอายุ (60 ปีขึ้นไป)"))))))))</f>
        <v/>
      </c>
      <c r="I67" s="18" t="inlineStr">
        <is>
          <t>ผู้อาศัย</t>
        </is>
      </c>
      <c r="J67" s="18" t="inlineStr">
        <is>
          <t>มีชีวิต</t>
        </is>
      </c>
      <c r="K67" s="17" t="inlineStr">
        <is>
          <t>วัน/เดือน/ปีครบ</t>
        </is>
      </c>
    </row>
    <row r="68" ht="20" customHeight="1">
      <c r="A68" s="22" t="n">
        <v>68</v>
      </c>
      <c r="B68" s="22" t="n">
        <v>3</v>
      </c>
      <c r="C68" s="21" t="inlineStr">
        <is>
          <t>3-1003-00006-01-6</t>
        </is>
      </c>
      <c r="D68" s="21" t="inlineStr">
        <is>
          <t>น.ส. ดวงใจ ชมเชย</t>
        </is>
      </c>
      <c r="E68" s="22" t="inlineStr">
        <is>
          <t>หญิง</t>
        </is>
      </c>
      <c r="F68" s="22" t="inlineStr">
        <is>
          <t>19/10/2522</t>
        </is>
      </c>
      <c r="G68" s="35" t="n">
        <v>46</v>
      </c>
      <c r="H68" s="21">
        <f>IF(J68="เสียชีวิต", "ไม่ระบุอายุปัจจุบัน", IF(ISBLANK(G68), "ไม่ระบุอายุปัจจุบัน", IF(G68&lt;=5, "เด็กเล็ก (0–5 ปี)", IF(G68&lt;=12, "เด็กวัยเรียน (6–12 ปี)", IF(G68&lt;=17, "วัยรุ่น (13–17 ปี)", IF(G68&lt;=24, "วัยหนุ่มสาว (18–24 ปี)", IF(G68&lt;=39, "วัยทำงานตอนต้น (25–39 ปี)", IF(G68&lt;=59, "วัยทำงานตอนกลาง (40–59 ปี)", "ผู้สูงอายุ (60 ปีขึ้นไป)"))))))))</f>
        <v/>
      </c>
      <c r="I68" s="22" t="inlineStr">
        <is>
          <t>ผู้อาศัย</t>
        </is>
      </c>
      <c r="J68" s="22" t="inlineStr">
        <is>
          <t>มีชีวิต</t>
        </is>
      </c>
      <c r="K68" s="21" t="inlineStr">
        <is>
          <t>วัน/เดือน/ปีครบ</t>
        </is>
      </c>
    </row>
    <row r="69" ht="20" customHeight="1">
      <c r="A69" s="18" t="n">
        <v>68</v>
      </c>
      <c r="B69" s="18" t="n">
        <v>4</v>
      </c>
      <c r="C69" s="17" t="inlineStr">
        <is>
          <t>3-3607-00367-31-6</t>
        </is>
      </c>
      <c r="D69" s="17" t="inlineStr">
        <is>
          <t>นางวิภาวึ สินประเสริฐ</t>
        </is>
      </c>
      <c r="E69" s="18" t="inlineStr">
        <is>
          <t>หญิง</t>
        </is>
      </c>
      <c r="F69" s="18" t="inlineStr">
        <is>
          <t>29/04/2505</t>
        </is>
      </c>
      <c r="G69" s="34" t="n">
        <v>64</v>
      </c>
      <c r="H69" s="17">
        <f>IF(J69="เสียชีวิต", "ไม่ระบุอายุปัจจุบัน", IF(ISBLANK(G69), "ไม่ระบุอายุปัจจุบัน", IF(G69&lt;=5, "เด็กเล็ก (0–5 ปี)", IF(G69&lt;=12, "เด็กวัยเรียน (6–12 ปี)", IF(G69&lt;=17, "วัยรุ่น (13–17 ปี)", IF(G69&lt;=24, "วัยหนุ่มสาว (18–24 ปี)", IF(G69&lt;=39, "วัยทำงานตอนต้น (25–39 ปี)", IF(G69&lt;=59, "วัยทำงานตอนกลาง (40–59 ปี)", "ผู้สูงอายุ (60 ปีขึ้นไป)"))))))))</f>
        <v/>
      </c>
      <c r="I69" s="18" t="inlineStr">
        <is>
          <t>ผู้อาศัย</t>
        </is>
      </c>
      <c r="J69" s="18" t="inlineStr">
        <is>
          <t>มีชีวิต</t>
        </is>
      </c>
      <c r="K69" s="17" t="inlineStr">
        <is>
          <t>วัน/เดือน/ปีครบ</t>
        </is>
      </c>
    </row>
    <row r="70" ht="20" customHeight="1">
      <c r="A70" s="22" t="n">
        <v>98</v>
      </c>
      <c r="B70" s="22" t="n">
        <v>1</v>
      </c>
      <c r="C70" s="21" t="inlineStr">
        <is>
          <t>1-1002-01145-05-4</t>
        </is>
      </c>
      <c r="D70" s="21" t="inlineStr">
        <is>
          <t>น.ส. กมลรัตน์ วงษ์เจริญ</t>
        </is>
      </c>
      <c r="E70" s="22" t="inlineStr">
        <is>
          <t>หญิง</t>
        </is>
      </c>
      <c r="F70" s="22" t="inlineStr">
        <is>
          <t>30/10/2538</t>
        </is>
      </c>
      <c r="G70" s="35" t="n">
        <v>30</v>
      </c>
      <c r="H70" s="21">
        <f>IF(J70="เสียชีวิต", "ไม่ระบุอายุปัจจุบัน", IF(ISBLANK(G70), "ไม่ระบุอายุปัจจุบัน", IF(G70&lt;=5, "เด็กเล็ก (0–5 ปี)", IF(G70&lt;=12, "เด็กวัยเรียน (6–12 ปี)", IF(G70&lt;=17, "วัยรุ่น (13–17 ปี)", IF(G70&lt;=24, "วัยหนุ่มสาว (18–24 ปี)", IF(G70&lt;=39, "วัยทำงานตอนต้น (25–39 ปี)", IF(G70&lt;=59, "วัยทำงานตอนกลาง (40–59 ปี)", "ผู้สูงอายุ (60 ปีขึ้นไป)"))))))))</f>
        <v/>
      </c>
      <c r="I70" s="22" t="inlineStr">
        <is>
          <t>เจ้าบ้าน</t>
        </is>
      </c>
      <c r="J70" s="22" t="inlineStr">
        <is>
          <t>มีชีวิต</t>
        </is>
      </c>
      <c r="K70" s="21" t="inlineStr">
        <is>
          <t>วัน/เดือน/ปีครบ</t>
        </is>
      </c>
    </row>
    <row r="71" ht="20" customHeight="1">
      <c r="A71" s="18" t="n">
        <v>137</v>
      </c>
      <c r="B71" s="18" t="n">
        <v>1</v>
      </c>
      <c r="C71" s="17" t="inlineStr">
        <is>
          <t>3-2603-00235-29-4</t>
        </is>
      </c>
      <c r="D71" s="17" t="inlineStr">
        <is>
          <t>น.ส. เลียม ธรรมศีล</t>
        </is>
      </c>
      <c r="E71" s="18" t="inlineStr">
        <is>
          <t>หญิง</t>
        </is>
      </c>
      <c r="F71" s="18" t="inlineStr">
        <is>
          <t>19/09/2501</t>
        </is>
      </c>
      <c r="G71" s="34" t="n">
        <v>67</v>
      </c>
      <c r="H71" s="17">
        <f>IF(J71="เสียชีวิต", "ไม่ระบุอายุปัจจุบัน", IF(ISBLANK(G71), "ไม่ระบุอายุปัจจุบัน", IF(G71&lt;=5, "เด็กเล็ก (0–5 ปี)", IF(G71&lt;=12, "เด็กวัยเรียน (6–12 ปี)", IF(G71&lt;=17, "วัยรุ่น (13–17 ปี)", IF(G71&lt;=24, "วัยหนุ่มสาว (18–24 ปี)", IF(G71&lt;=39, "วัยทำงานตอนต้น (25–39 ปี)", IF(G71&lt;=59, "วัยทำงานตอนกลาง (40–59 ปี)", "ผู้สูงอายุ (60 ปีขึ้นไป)"))))))))</f>
        <v/>
      </c>
      <c r="I71" s="18" t="inlineStr">
        <is>
          <t>เจ้าบ้าน</t>
        </is>
      </c>
      <c r="J71" s="18" t="inlineStr">
        <is>
          <t>มีชีวิต</t>
        </is>
      </c>
      <c r="K71" s="17" t="inlineStr">
        <is>
          <t>วัน/เดือน/ปีครบ</t>
        </is>
      </c>
    </row>
    <row r="72" ht="20" customHeight="1">
      <c r="A72" s="22" t="n">
        <v>148</v>
      </c>
      <c r="B72" s="22" t="n">
        <v>1</v>
      </c>
      <c r="C72" s="21" t="inlineStr">
        <is>
          <t>3-2603-00235-36-7</t>
        </is>
      </c>
      <c r="D72" s="21" t="inlineStr">
        <is>
          <t>นายสมใจ แก้วประดับ</t>
        </is>
      </c>
      <c r="E72" s="22" t="inlineStr">
        <is>
          <t>ชาย</t>
        </is>
      </c>
      <c r="F72" s="22" t="inlineStr">
        <is>
          <t>01/04/2522</t>
        </is>
      </c>
      <c r="G72" s="35" t="n">
        <v>47</v>
      </c>
      <c r="H72" s="21">
        <f>IF(J72="เสียชีวิต", "ไม่ระบุอายุปัจจุบัน", IF(ISBLANK(G72), "ไม่ระบุอายุปัจจุบัน", IF(G72&lt;=5, "เด็กเล็ก (0–5 ปี)", IF(G72&lt;=12, "เด็กวัยเรียน (6–12 ปี)", IF(G72&lt;=17, "วัยรุ่น (13–17 ปี)", IF(G72&lt;=24, "วัยหนุ่มสาว (18–24 ปี)", IF(G72&lt;=39, "วัยทำงานตอนต้น (25–39 ปี)", IF(G72&lt;=59, "วัยทำงานตอนกลาง (40–59 ปี)", "ผู้สูงอายุ (60 ปีขึ้นไป)"))))))))</f>
        <v/>
      </c>
      <c r="I72" s="22" t="inlineStr">
        <is>
          <t>เจ้าบ้าน</t>
        </is>
      </c>
      <c r="J72" s="22" t="inlineStr">
        <is>
          <t>มีชีวิต</t>
        </is>
      </c>
      <c r="K72" s="21" t="inlineStr">
        <is>
          <t>วัน/เดือน/ปีครบ</t>
        </is>
      </c>
    </row>
    <row r="73" ht="20" customHeight="1">
      <c r="A73" s="18" t="n">
        <v>148</v>
      </c>
      <c r="B73" s="18" t="n">
        <v>2</v>
      </c>
      <c r="C73" s="17" t="inlineStr">
        <is>
          <t>3-2501-00612-19-1</t>
        </is>
      </c>
      <c r="D73" s="17" t="inlineStr">
        <is>
          <t>นางนิภา ไชโย</t>
        </is>
      </c>
      <c r="E73" s="18" t="inlineStr">
        <is>
          <t>หญิง</t>
        </is>
      </c>
      <c r="F73" s="18" t="inlineStr">
        <is>
          <t>30/05/2514</t>
        </is>
      </c>
      <c r="G73" s="34" t="n">
        <v>55</v>
      </c>
      <c r="H73" s="17">
        <f>IF(J73="เสียชีวิต", "ไม่ระบุอายุปัจจุบัน", IF(ISBLANK(G73), "ไม่ระบุอายุปัจจุบัน", IF(G73&lt;=5, "เด็กเล็ก (0–5 ปี)", IF(G73&lt;=12, "เด็กวัยเรียน (6–12 ปี)", IF(G73&lt;=17, "วัยรุ่น (13–17 ปี)", IF(G73&lt;=24, "วัยหนุ่มสาว (18–24 ปี)", IF(G73&lt;=39, "วัยทำงานตอนต้น (25–39 ปี)", IF(G73&lt;=59, "วัยทำงานตอนกลาง (40–59 ปี)", "ผู้สูงอายุ (60 ปีขึ้นไป)"))))))))</f>
        <v/>
      </c>
      <c r="I73" s="18" t="inlineStr">
        <is>
          <t>ผู้อาศัย</t>
        </is>
      </c>
      <c r="J73" s="18" t="inlineStr">
        <is>
          <t>มีชีวิต</t>
        </is>
      </c>
      <c r="K73" s="17" t="inlineStr">
        <is>
          <t>วัน/เดือน/ปีครบ</t>
        </is>
      </c>
    </row>
    <row r="74">
      <c r="A74" s="25" t="inlineStr">
        <is>
          <t>รวมทั้งหมด</t>
        </is>
      </c>
      <c r="B74" s="36" t="n"/>
      <c r="C74" s="36" t="n"/>
      <c r="D74" s="37">
        <f>COUNTA(D5:D73)</f>
        <v/>
      </c>
      <c r="E74" s="36" t="n"/>
      <c r="F74" s="36" t="n"/>
      <c r="G74" s="36" t="n"/>
      <c r="H74" s="36" t="n"/>
      <c r="I74" s="36" t="n"/>
      <c r="J74" s="36" t="n"/>
      <c r="K74" s="36" t="n"/>
    </row>
  </sheetData>
  <autoFilter ref="A4:K73"/>
  <mergeCells count="2">
    <mergeCell ref="A2:K2"/>
    <mergeCell ref="A1:K1"/>
  </mergeCells>
  <conditionalFormatting sqref="J5:J73">
    <cfRule type="cellIs" priority="1" operator="equal" dxfId="0" stopIfTrue="1">
      <formula>"เสียชีวิต"</formula>
    </cfRule>
  </conditionalFormatting>
  <conditionalFormatting sqref="I5:I73">
    <cfRule type="cellIs" priority="2" operator="equal" dxfId="1" stopIfTrue="1">
      <formula>"เจ้าบ้าน"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8" customWidth="1" min="8" max="8"/>
  </cols>
  <sheetData>
    <row r="1" ht="25" customHeight="1">
      <c r="A1" s="32" t="inlineStr">
        <is>
          <t>สรุปข้อมูลจำแนกตามบ้านเลขที่ หมู่ 8</t>
        </is>
      </c>
    </row>
    <row r="2" ht="18" customHeight="1">
      <c r="A2" s="33" t="inlineStr">
        <is>
          <t>จำนวนบ้านเรือนทั้งหมด 17 หลังคาเรือน</t>
        </is>
      </c>
    </row>
    <row r="3"/>
    <row r="4" ht="26" customHeight="1">
      <c r="A4" s="16" t="inlineStr">
        <is>
          <t>บ้านเลขที่</t>
        </is>
      </c>
      <c r="B4" s="16" t="inlineStr">
        <is>
          <t>เจ้าบ้าน</t>
        </is>
      </c>
      <c r="C4" s="16" t="inlineStr">
        <is>
          <t>จำนวนสมาชิก (คน)</t>
        </is>
      </c>
      <c r="D4" s="16" t="inlineStr">
        <is>
          <t>ชาย</t>
        </is>
      </c>
      <c r="E4" s="16" t="inlineStr">
        <is>
          <t>หญิง</t>
        </is>
      </c>
      <c r="F4" s="16" t="inlineStr">
        <is>
          <t>มีชีวิต</t>
        </is>
      </c>
      <c r="G4" s="16" t="inlineStr">
        <is>
          <t>เสียชีวิต</t>
        </is>
      </c>
      <c r="H4" s="16" t="inlineStr">
        <is>
          <t>สัดส่วนประชากร</t>
        </is>
      </c>
    </row>
    <row r="5" ht="20" customHeight="1">
      <c r="A5" s="38" t="n">
        <v>2</v>
      </c>
      <c r="B5" s="17" t="inlineStr">
        <is>
          <t>นางสาวกุหลาบ น้ำจันทน์</t>
        </is>
      </c>
      <c r="C5" s="19">
        <f>COUNTIF('ทะเบียนประชากร'!$A$5:$A$73, A5)</f>
        <v/>
      </c>
      <c r="D5" s="19">
        <f>COUNTIFS('ทะเบียนประชากร'!$A$5:$A$73, A5, 'ทะเบียนประชากร'!$E$5:$E$73, "ชาย")</f>
        <v/>
      </c>
      <c r="E5" s="19">
        <f>COUNTIFS('ทะเบียนประชากร'!$A$5:$A$73, A5, 'ทะเบียนประชากร'!$E$5:$E$73, "หญิง")</f>
        <v/>
      </c>
      <c r="F5" s="19">
        <f>COUNTIFS('ทะเบียนประชากร'!$A$5:$A$73, A5, 'ทะเบียนประชากร'!$J$5:$J$73, "มีชีวิต")</f>
        <v/>
      </c>
      <c r="G5" s="19">
        <f>COUNTIFS('ทะเบียนประชากร'!$A$5:$A$73, A5, 'ทะเบียนประชากร'!$J$5:$J$73, "เสียชีวิต")</f>
        <v/>
      </c>
      <c r="H5" s="20">
        <f>C5/$C$22</f>
        <v/>
      </c>
    </row>
    <row r="6" ht="20" customHeight="1">
      <c r="A6" s="39" t="n">
        <v>25</v>
      </c>
      <c r="B6" s="21" t="inlineStr">
        <is>
          <t>นายเชื้อ ทองรักษ์</t>
        </is>
      </c>
      <c r="C6" s="23">
        <f>COUNTIF('ทะเบียนประชากร'!$A$5:$A$73, A6)</f>
        <v/>
      </c>
      <c r="D6" s="23">
        <f>COUNTIFS('ทะเบียนประชากร'!$A$5:$A$73, A6, 'ทะเบียนประชากร'!$E$5:$E$73, "ชาย")</f>
        <v/>
      </c>
      <c r="E6" s="23">
        <f>COUNTIFS('ทะเบียนประชากร'!$A$5:$A$73, A6, 'ทะเบียนประชากร'!$E$5:$E$73, "หญิง")</f>
        <v/>
      </c>
      <c r="F6" s="23">
        <f>COUNTIFS('ทะเบียนประชากร'!$A$5:$A$73, A6, 'ทะเบียนประชากร'!$J$5:$J$73, "มีชีวิต")</f>
        <v/>
      </c>
      <c r="G6" s="23">
        <f>COUNTIFS('ทะเบียนประชากร'!$A$5:$A$73, A6, 'ทะเบียนประชากร'!$J$5:$J$73, "เสียชีวิต")</f>
        <v/>
      </c>
      <c r="H6" s="24">
        <f>C6/$C$22</f>
        <v/>
      </c>
    </row>
    <row r="7" ht="20" customHeight="1">
      <c r="A7" s="38" t="n">
        <v>27</v>
      </c>
      <c r="B7" s="17" t="inlineStr">
        <is>
          <t>นายสุบิน โลกนิมิตร</t>
        </is>
      </c>
      <c r="C7" s="19">
        <f>COUNTIF('ทะเบียนประชากร'!$A$5:$A$73, A7)</f>
        <v/>
      </c>
      <c r="D7" s="19">
        <f>COUNTIFS('ทะเบียนประชากร'!$A$5:$A$73, A7, 'ทะเบียนประชากร'!$E$5:$E$73, "ชาย")</f>
        <v/>
      </c>
      <c r="E7" s="19">
        <f>COUNTIFS('ทะเบียนประชากร'!$A$5:$A$73, A7, 'ทะเบียนประชากร'!$E$5:$E$73, "หญิง")</f>
        <v/>
      </c>
      <c r="F7" s="19">
        <f>COUNTIFS('ทะเบียนประชากร'!$A$5:$A$73, A7, 'ทะเบียนประชากร'!$J$5:$J$73, "มีชีวิต")</f>
        <v/>
      </c>
      <c r="G7" s="19">
        <f>COUNTIFS('ทะเบียนประชากร'!$A$5:$A$73, A7, 'ทะเบียนประชากร'!$J$5:$J$73, "เสียชีวิต")</f>
        <v/>
      </c>
      <c r="H7" s="20">
        <f>C7/$C$22</f>
        <v/>
      </c>
    </row>
    <row r="8" ht="20" customHeight="1">
      <c r="A8" s="39" t="n">
        <v>28</v>
      </c>
      <c r="B8" s="21" t="inlineStr">
        <is>
          <t>น.ส. สมคิด งามประเสริฐ</t>
        </is>
      </c>
      <c r="C8" s="23">
        <f>COUNTIF('ทะเบียนประชากร'!$A$5:$A$73, A8)</f>
        <v/>
      </c>
      <c r="D8" s="23">
        <f>COUNTIFS('ทะเบียนประชากร'!$A$5:$A$73, A8, 'ทะเบียนประชากร'!$E$5:$E$73, "ชาย")</f>
        <v/>
      </c>
      <c r="E8" s="23">
        <f>COUNTIFS('ทะเบียนประชากร'!$A$5:$A$73, A8, 'ทะเบียนประชากร'!$E$5:$E$73, "หญิง")</f>
        <v/>
      </c>
      <c r="F8" s="23">
        <f>COUNTIFS('ทะเบียนประชากร'!$A$5:$A$73, A8, 'ทะเบียนประชากร'!$J$5:$J$73, "มีชีวิต")</f>
        <v/>
      </c>
      <c r="G8" s="23">
        <f>COUNTIFS('ทะเบียนประชากร'!$A$5:$A$73, A8, 'ทะเบียนประชากร'!$J$5:$J$73, "เสียชีวิต")</f>
        <v/>
      </c>
      <c r="H8" s="24">
        <f>C8/$C$22</f>
        <v/>
      </c>
    </row>
    <row r="9" ht="20" customHeight="1">
      <c r="A9" s="38" t="n">
        <v>38</v>
      </c>
      <c r="B9" s="17" t="inlineStr">
        <is>
          <t>นาง วันเพ็ญ สุขใจ</t>
        </is>
      </c>
      <c r="C9" s="19">
        <f>COUNTIF('ทะเบียนประชากร'!$A$5:$A$73, A9)</f>
        <v/>
      </c>
      <c r="D9" s="19">
        <f>COUNTIFS('ทะเบียนประชากร'!$A$5:$A$73, A9, 'ทะเบียนประชากร'!$E$5:$E$73, "ชาย")</f>
        <v/>
      </c>
      <c r="E9" s="19">
        <f>COUNTIFS('ทะเบียนประชากร'!$A$5:$A$73, A9, 'ทะเบียนประชากร'!$E$5:$E$73, "หญิง")</f>
        <v/>
      </c>
      <c r="F9" s="19">
        <f>COUNTIFS('ทะเบียนประชากร'!$A$5:$A$73, A9, 'ทะเบียนประชากร'!$J$5:$J$73, "มีชีวิต")</f>
        <v/>
      </c>
      <c r="G9" s="19">
        <f>COUNTIFS('ทะเบียนประชากร'!$A$5:$A$73, A9, 'ทะเบียนประชากร'!$J$5:$J$73, "เสียชีวิต")</f>
        <v/>
      </c>
      <c r="H9" s="20">
        <f>C9/$C$22</f>
        <v/>
      </c>
    </row>
    <row r="10" ht="20" customHeight="1">
      <c r="A10" s="39" t="n">
        <v>43</v>
      </c>
      <c r="B10" s="21" t="inlineStr">
        <is>
          <t>นายบุญฤทธิ์ วาวิไลย</t>
        </is>
      </c>
      <c r="C10" s="23">
        <f>COUNTIF('ทะเบียนประชากร'!$A$5:$A$73, A10)</f>
        <v/>
      </c>
      <c r="D10" s="23">
        <f>COUNTIFS('ทะเบียนประชากร'!$A$5:$A$73, A10, 'ทะเบียนประชากร'!$E$5:$E$73, "ชาย")</f>
        <v/>
      </c>
      <c r="E10" s="23">
        <f>COUNTIFS('ทะเบียนประชากร'!$A$5:$A$73, A10, 'ทะเบียนประชากร'!$E$5:$E$73, "หญิง")</f>
        <v/>
      </c>
      <c r="F10" s="23">
        <f>COUNTIFS('ทะเบียนประชากร'!$A$5:$A$73, A10, 'ทะเบียนประชากร'!$J$5:$J$73, "มีชีวิต")</f>
        <v/>
      </c>
      <c r="G10" s="23">
        <f>COUNTIFS('ทะเบียนประชากร'!$A$5:$A$73, A10, 'ทะเบียนประชากร'!$J$5:$J$73, "เสียชีวิต")</f>
        <v/>
      </c>
      <c r="H10" s="24">
        <f>C10/$C$22</f>
        <v/>
      </c>
    </row>
    <row r="11" ht="20" customHeight="1">
      <c r="A11" s="38" t="n">
        <v>44</v>
      </c>
      <c r="B11" s="17" t="inlineStr">
        <is>
          <t>นายวีรพันธุ แก้วประดับ</t>
        </is>
      </c>
      <c r="C11" s="19">
        <f>COUNTIF('ทะเบียนประชากร'!$A$5:$A$73, A11)</f>
        <v/>
      </c>
      <c r="D11" s="19">
        <f>COUNTIFS('ทะเบียนประชากร'!$A$5:$A$73, A11, 'ทะเบียนประชากร'!$E$5:$E$73, "ชาย")</f>
        <v/>
      </c>
      <c r="E11" s="19">
        <f>COUNTIFS('ทะเบียนประชากร'!$A$5:$A$73, A11, 'ทะเบียนประชากร'!$E$5:$E$73, "หญิง")</f>
        <v/>
      </c>
      <c r="F11" s="19">
        <f>COUNTIFS('ทะเบียนประชากร'!$A$5:$A$73, A11, 'ทะเบียนประชากร'!$J$5:$J$73, "มีชีวิต")</f>
        <v/>
      </c>
      <c r="G11" s="19">
        <f>COUNTIFS('ทะเบียนประชากร'!$A$5:$A$73, A11, 'ทะเบียนประชากร'!$J$5:$J$73, "เสียชีวิต")</f>
        <v/>
      </c>
      <c r="H11" s="20">
        <f>C11/$C$22</f>
        <v/>
      </c>
    </row>
    <row r="12" ht="20" customHeight="1">
      <c r="A12" s="39" t="n">
        <v>49</v>
      </c>
      <c r="B12" s="21" t="inlineStr">
        <is>
          <t>นายจงรักษ์ เจริญนา</t>
        </is>
      </c>
      <c r="C12" s="23">
        <f>COUNTIF('ทะเบียนประชากร'!$A$5:$A$73, A12)</f>
        <v/>
      </c>
      <c r="D12" s="23">
        <f>COUNTIFS('ทะเบียนประชากร'!$A$5:$A$73, A12, 'ทะเบียนประชากร'!$E$5:$E$73, "ชาย")</f>
        <v/>
      </c>
      <c r="E12" s="23">
        <f>COUNTIFS('ทะเบียนประชากร'!$A$5:$A$73, A12, 'ทะเบียนประชากร'!$E$5:$E$73, "หญิง")</f>
        <v/>
      </c>
      <c r="F12" s="23">
        <f>COUNTIFS('ทะเบียนประชากร'!$A$5:$A$73, A12, 'ทะเบียนประชากร'!$J$5:$J$73, "มีชีวิต")</f>
        <v/>
      </c>
      <c r="G12" s="23">
        <f>COUNTIFS('ทะเบียนประชากร'!$A$5:$A$73, A12, 'ทะเบียนประชากร'!$J$5:$J$73, "เสียชีวิต")</f>
        <v/>
      </c>
      <c r="H12" s="24">
        <f>C12/$C$22</f>
        <v/>
      </c>
    </row>
    <row r="13" ht="20" customHeight="1">
      <c r="A13" s="38" t="n">
        <v>54</v>
      </c>
      <c r="B13" s="17" t="inlineStr">
        <is>
          <t>นางสมจิตร แก้วประดับ</t>
        </is>
      </c>
      <c r="C13" s="19">
        <f>COUNTIF('ทะเบียนประชากร'!$A$5:$A$73, A13)</f>
        <v/>
      </c>
      <c r="D13" s="19">
        <f>COUNTIFS('ทะเบียนประชากร'!$A$5:$A$73, A13, 'ทะเบียนประชากร'!$E$5:$E$73, "ชาย")</f>
        <v/>
      </c>
      <c r="E13" s="19">
        <f>COUNTIFS('ทะเบียนประชากร'!$A$5:$A$73, A13, 'ทะเบียนประชากร'!$E$5:$E$73, "หญิง")</f>
        <v/>
      </c>
      <c r="F13" s="19">
        <f>COUNTIFS('ทะเบียนประชากร'!$A$5:$A$73, A13, 'ทะเบียนประชากร'!$J$5:$J$73, "มีชีวิต")</f>
        <v/>
      </c>
      <c r="G13" s="19">
        <f>COUNTIFS('ทะเบียนประชากร'!$A$5:$A$73, A13, 'ทะเบียนประชากร'!$J$5:$J$73, "เสียชีวิต")</f>
        <v/>
      </c>
      <c r="H13" s="20">
        <f>C13/$C$22</f>
        <v/>
      </c>
    </row>
    <row r="14" ht="20" customHeight="1">
      <c r="A14" s="39" t="n">
        <v>55</v>
      </c>
      <c r="B14" s="21" t="inlineStr">
        <is>
          <t>ไม่มี (ผู้อาศัยอย่างเดียว)</t>
        </is>
      </c>
      <c r="C14" s="23">
        <f>COUNTIF('ทะเบียนประชากร'!$A$5:$A$73, A14)</f>
        <v/>
      </c>
      <c r="D14" s="23">
        <f>COUNTIFS('ทะเบียนประชากร'!$A$5:$A$73, A14, 'ทะเบียนประชากร'!$E$5:$E$73, "ชาย")</f>
        <v/>
      </c>
      <c r="E14" s="23">
        <f>COUNTIFS('ทะเบียนประชากร'!$A$5:$A$73, A14, 'ทะเบียนประชากร'!$E$5:$E$73, "หญิง")</f>
        <v/>
      </c>
      <c r="F14" s="23">
        <f>COUNTIFS('ทะเบียนประชากร'!$A$5:$A$73, A14, 'ทะเบียนประชากร'!$J$5:$J$73, "มีชีวิต")</f>
        <v/>
      </c>
      <c r="G14" s="23">
        <f>COUNTIFS('ทะเบียนประชากร'!$A$5:$A$73, A14, 'ทะเบียนประชากร'!$J$5:$J$73, "เสียชีวิต")</f>
        <v/>
      </c>
      <c r="H14" s="24">
        <f>C14/$C$22</f>
        <v/>
      </c>
    </row>
    <row r="15" ht="20" customHeight="1">
      <c r="A15" s="38" t="n">
        <v>56</v>
      </c>
      <c r="B15" s="17" t="inlineStr">
        <is>
          <t>นายพยุงศักดิ์ เนื่องวงษ์</t>
        </is>
      </c>
      <c r="C15" s="19">
        <f>COUNTIF('ทะเบียนประชากร'!$A$5:$A$73, A15)</f>
        <v/>
      </c>
      <c r="D15" s="19">
        <f>COUNTIFS('ทะเบียนประชากร'!$A$5:$A$73, A15, 'ทะเบียนประชากร'!$E$5:$E$73, "ชาย")</f>
        <v/>
      </c>
      <c r="E15" s="19">
        <f>COUNTIFS('ทะเบียนประชากร'!$A$5:$A$73, A15, 'ทะเบียนประชากร'!$E$5:$E$73, "หญิง")</f>
        <v/>
      </c>
      <c r="F15" s="19">
        <f>COUNTIFS('ทะเบียนประชากร'!$A$5:$A$73, A15, 'ทะเบียนประชากร'!$J$5:$J$73, "มีชีวิต")</f>
        <v/>
      </c>
      <c r="G15" s="19">
        <f>COUNTIFS('ทะเบียนประชากร'!$A$5:$A$73, A15, 'ทะเบียนประชากร'!$J$5:$J$73, "เสียชีวิต")</f>
        <v/>
      </c>
      <c r="H15" s="20">
        <f>C15/$C$22</f>
        <v/>
      </c>
    </row>
    <row r="16" ht="20" customHeight="1">
      <c r="A16" s="39" t="n">
        <v>57</v>
      </c>
      <c r="B16" s="21" t="inlineStr">
        <is>
          <t>นายเขียน นาคะจะ</t>
        </is>
      </c>
      <c r="C16" s="23">
        <f>COUNTIF('ทะเบียนประชากร'!$A$5:$A$73, A16)</f>
        <v/>
      </c>
      <c r="D16" s="23">
        <f>COUNTIFS('ทะเบียนประชากร'!$A$5:$A$73, A16, 'ทะเบียนประชากร'!$E$5:$E$73, "ชาย")</f>
        <v/>
      </c>
      <c r="E16" s="23">
        <f>COUNTIFS('ทะเบียนประชากร'!$A$5:$A$73, A16, 'ทะเบียนประชากร'!$E$5:$E$73, "หญิง")</f>
        <v/>
      </c>
      <c r="F16" s="23">
        <f>COUNTIFS('ทะเบียนประชากร'!$A$5:$A$73, A16, 'ทะเบียนประชากร'!$J$5:$J$73, "มีชีวิต")</f>
        <v/>
      </c>
      <c r="G16" s="23">
        <f>COUNTIFS('ทะเบียนประชากร'!$A$5:$A$73, A16, 'ทะเบียนประชากร'!$J$5:$J$73, "เสียชีวิต")</f>
        <v/>
      </c>
      <c r="H16" s="24">
        <f>C16/$C$22</f>
        <v/>
      </c>
    </row>
    <row r="17" ht="20" customHeight="1">
      <c r="A17" s="38" t="n">
        <v>62</v>
      </c>
      <c r="B17" s="17" t="inlineStr">
        <is>
          <t>นางรัตนา เวหะ</t>
        </is>
      </c>
      <c r="C17" s="19">
        <f>COUNTIF('ทะเบียนประชากร'!$A$5:$A$73, A17)</f>
        <v/>
      </c>
      <c r="D17" s="19">
        <f>COUNTIFS('ทะเบียนประชากร'!$A$5:$A$73, A17, 'ทะเบียนประชากร'!$E$5:$E$73, "ชาย")</f>
        <v/>
      </c>
      <c r="E17" s="19">
        <f>COUNTIFS('ทะเบียนประชากร'!$A$5:$A$73, A17, 'ทะเบียนประชากร'!$E$5:$E$73, "หญิง")</f>
        <v/>
      </c>
      <c r="F17" s="19">
        <f>COUNTIFS('ทะเบียนประชากร'!$A$5:$A$73, A17, 'ทะเบียนประชากร'!$J$5:$J$73, "มีชีวิต")</f>
        <v/>
      </c>
      <c r="G17" s="19">
        <f>COUNTIFS('ทะเบียนประชากร'!$A$5:$A$73, A17, 'ทะเบียนประชากร'!$J$5:$J$73, "เสียชีวิต")</f>
        <v/>
      </c>
      <c r="H17" s="20">
        <f>C17/$C$22</f>
        <v/>
      </c>
    </row>
    <row r="18" ht="20" customHeight="1">
      <c r="A18" s="39" t="n">
        <v>68</v>
      </c>
      <c r="B18" s="21" t="inlineStr">
        <is>
          <t>นายกนก สินประเสริฐ</t>
        </is>
      </c>
      <c r="C18" s="23">
        <f>COUNTIF('ทะเบียนประชากร'!$A$5:$A$73, A18)</f>
        <v/>
      </c>
      <c r="D18" s="23">
        <f>COUNTIFS('ทะเบียนประชากร'!$A$5:$A$73, A18, 'ทะเบียนประชากร'!$E$5:$E$73, "ชาย")</f>
        <v/>
      </c>
      <c r="E18" s="23">
        <f>COUNTIFS('ทะเบียนประชากร'!$A$5:$A$73, A18, 'ทะเบียนประชากร'!$E$5:$E$73, "หญิง")</f>
        <v/>
      </c>
      <c r="F18" s="23">
        <f>COUNTIFS('ทะเบียนประชากร'!$A$5:$A$73, A18, 'ทะเบียนประชากร'!$J$5:$J$73, "มีชีวิต")</f>
        <v/>
      </c>
      <c r="G18" s="23">
        <f>COUNTIFS('ทะเบียนประชากร'!$A$5:$A$73, A18, 'ทะเบียนประชากร'!$J$5:$J$73, "เสียชีวิต")</f>
        <v/>
      </c>
      <c r="H18" s="24">
        <f>C18/$C$22</f>
        <v/>
      </c>
    </row>
    <row r="19" ht="20" customHeight="1">
      <c r="A19" s="38" t="n">
        <v>98</v>
      </c>
      <c r="B19" s="17" t="inlineStr">
        <is>
          <t>น.ส. กมลรัตน์ วงษ์เจริญ</t>
        </is>
      </c>
      <c r="C19" s="19">
        <f>COUNTIF('ทะเบียนประชากร'!$A$5:$A$73, A19)</f>
        <v/>
      </c>
      <c r="D19" s="19">
        <f>COUNTIFS('ทะเบียนประชากร'!$A$5:$A$73, A19, 'ทะเบียนประชากร'!$E$5:$E$73, "ชาย")</f>
        <v/>
      </c>
      <c r="E19" s="19">
        <f>COUNTIFS('ทะเบียนประชากร'!$A$5:$A$73, A19, 'ทะเบียนประชากร'!$E$5:$E$73, "หญิง")</f>
        <v/>
      </c>
      <c r="F19" s="19">
        <f>COUNTIFS('ทะเบียนประชากร'!$A$5:$A$73, A19, 'ทะเบียนประชากร'!$J$5:$J$73, "มีชีวิต")</f>
        <v/>
      </c>
      <c r="G19" s="19">
        <f>COUNTIFS('ทะเบียนประชากร'!$A$5:$A$73, A19, 'ทะเบียนประชากร'!$J$5:$J$73, "เสียชีวิต")</f>
        <v/>
      </c>
      <c r="H19" s="20">
        <f>C19/$C$22</f>
        <v/>
      </c>
    </row>
    <row r="20" ht="20" customHeight="1">
      <c r="A20" s="39" t="n">
        <v>137</v>
      </c>
      <c r="B20" s="21" t="inlineStr">
        <is>
          <t>น.ส. เลียม ธรรมศีล</t>
        </is>
      </c>
      <c r="C20" s="23">
        <f>COUNTIF('ทะเบียนประชากร'!$A$5:$A$73, A20)</f>
        <v/>
      </c>
      <c r="D20" s="23">
        <f>COUNTIFS('ทะเบียนประชากร'!$A$5:$A$73, A20, 'ทะเบียนประชากร'!$E$5:$E$73, "ชาย")</f>
        <v/>
      </c>
      <c r="E20" s="23">
        <f>COUNTIFS('ทะเบียนประชากร'!$A$5:$A$73, A20, 'ทะเบียนประชากร'!$E$5:$E$73, "หญิง")</f>
        <v/>
      </c>
      <c r="F20" s="23">
        <f>COUNTIFS('ทะเบียนประชากร'!$A$5:$A$73, A20, 'ทะเบียนประชากร'!$J$5:$J$73, "มีชีวิต")</f>
        <v/>
      </c>
      <c r="G20" s="23">
        <f>COUNTIFS('ทะเบียนประชากร'!$A$5:$A$73, A20, 'ทะเบียนประชากร'!$J$5:$J$73, "เสียชีวิต")</f>
        <v/>
      </c>
      <c r="H20" s="24">
        <f>C20/$C$22</f>
        <v/>
      </c>
    </row>
    <row r="21" ht="20" customHeight="1">
      <c r="A21" s="38" t="n">
        <v>148</v>
      </c>
      <c r="B21" s="17" t="inlineStr">
        <is>
          <t>นายสมใจ แก้วประดับ</t>
        </is>
      </c>
      <c r="C21" s="19">
        <f>COUNTIF('ทะเบียนประชากร'!$A$5:$A$73, A21)</f>
        <v/>
      </c>
      <c r="D21" s="19">
        <f>COUNTIFS('ทะเบียนประชากร'!$A$5:$A$73, A21, 'ทะเบียนประชากร'!$E$5:$E$73, "ชาย")</f>
        <v/>
      </c>
      <c r="E21" s="19">
        <f>COUNTIFS('ทะเบียนประชากร'!$A$5:$A$73, A21, 'ทะเบียนประชากร'!$E$5:$E$73, "หญิง")</f>
        <v/>
      </c>
      <c r="F21" s="19">
        <f>COUNTIFS('ทะเบียนประชากร'!$A$5:$A$73, A21, 'ทะเบียนประชากร'!$J$5:$J$73, "มีชีวิต")</f>
        <v/>
      </c>
      <c r="G21" s="19">
        <f>COUNTIFS('ทะเบียนประชากร'!$A$5:$A$73, A21, 'ทะเบียนประชากร'!$J$5:$J$73, "เสียชีวิต")</f>
        <v/>
      </c>
      <c r="H21" s="20">
        <f>C21/$C$22</f>
        <v/>
      </c>
    </row>
    <row r="22" ht="22" customHeight="1">
      <c r="A22" s="25" t="inlineStr">
        <is>
          <t>รวมทั้งสิ้น</t>
        </is>
      </c>
      <c r="B22" s="25" t="inlineStr">
        <is>
          <t>17 หลังคาเรือน</t>
        </is>
      </c>
      <c r="C22" s="26">
        <f>SUM(C5:C21)</f>
        <v/>
      </c>
      <c r="D22" s="26">
        <f>SUM(D5:D21)</f>
        <v/>
      </c>
      <c r="E22" s="26">
        <f>SUM(E5:E21)</f>
        <v/>
      </c>
      <c r="F22" s="26">
        <f>SUM(F5:F21)</f>
        <v/>
      </c>
      <c r="G22" s="26">
        <f>SUM(G5:G21)</f>
        <v/>
      </c>
      <c r="H22" s="27">
        <f>SUM(H5:H21)</f>
        <v/>
      </c>
    </row>
  </sheetData>
  <autoFilter ref="A4:H2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2026-09-03T13:37:26Z</dcterms:created>
  <dcterms:modified xmlns:dcterms="http://purl.org/dc/terms/" xmlns:xsi="http://www.w3.org/2001/XMLSchema-instance" xsi:type="dcterms:W3CDTF">2026-09-03T13:38:21Z</dcterms:modified>
</cp:coreProperties>
</file>